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  <Override PartName="/xl/commentsmeta1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X:\Shared drives\_CDPHE TEEO Data\_Enviro\PFAS\PFAS_Map_Series\PFAS_Map_Series_R\01_Raw_Data\One_Time_Efforts\"/>
    </mc:Choice>
  </mc:AlternateContent>
  <bookViews>
    <workbookView xWindow="0" yWindow="0" windowWidth="28800" windowHeight="11580"/>
  </bookViews>
  <sheets>
    <sheet name="PrivateWell_Template_Format" sheetId="1" r:id="rId1"/>
    <sheet name="Original" sheetId="2" r:id="rId2"/>
  </sheets>
  <definedNames>
    <definedName name="_xlnm._FilterDatabase" localSheetId="1" hidden="1">Original!$A$1:$N$1</definedName>
    <definedName name="_xlnm._FilterDatabase" localSheetId="0" hidden="1">PrivateWell_Template_Format!$A$1:$X$1</definedName>
  </definedNames>
  <calcPr calcId="162913"/>
  <extLst>
    <ext uri="GoogleSheetsCustomDataVersion2">
      <go:sheetsCustomData xmlns:go="http://customooxmlschemas.google.com/" r:id="rId6" roundtripDataChecksum="+NFg2AHohh6CcJhxOK14C1f6o/qWlttIQmmf/fs/Dbg="/>
    </ext>
  </extLst>
</workbook>
</file>

<file path=xl/calcChain.xml><?xml version="1.0" encoding="utf-8"?>
<calcChain xmlns="http://schemas.openxmlformats.org/spreadsheetml/2006/main">
  <c r="J29" i="2" l="1"/>
  <c r="J28" i="2"/>
  <c r="J25" i="2"/>
  <c r="J16" i="2"/>
  <c r="J11" i="2"/>
  <c r="J7" i="2"/>
  <c r="J5" i="2"/>
  <c r="J3" i="2"/>
  <c r="J2" i="2"/>
  <c r="O29" i="1"/>
  <c r="O28" i="1"/>
  <c r="O25" i="1"/>
  <c r="O16" i="1"/>
  <c r="O11" i="1"/>
  <c r="O7" i="1"/>
  <c r="O5" i="1"/>
  <c r="O3" i="1"/>
  <c r="O2" i="1"/>
</calcChain>
</file>

<file path=xl/comments1.xml><?xml version="1.0" encoding="utf-8"?>
<comments xmlns="http://schemas.openxmlformats.org/spreadsheetml/2006/main">
  <authors>
    <author/>
  </authors>
  <commentList>
    <comment ref="O20" authorId="0" shapeId="0">
      <text>
        <r>
          <rPr>
            <sz val="11"/>
            <color theme="1"/>
            <rFont val="Calibri"/>
            <scheme val="minor"/>
          </rPr>
          <t>======
ID#AAABM8NTZ3k
Aki Suzuki - CDPHE    (2024-05-03 21:54:06)
Can I assume with this dataset that "0" also means Non-detect? @kelsey.barton@state.co.us
------
ID#AAABM8NTZ3o
Aki Suzuki - CDPHE    (2024-05-03 21:57:25)
Answer is yes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grTqltPqdqvqo5L7THGabrl2h8Jg=="/>
    </ext>
  </extLst>
</comments>
</file>

<file path=xl/comments2.xml><?xml version="1.0" encoding="utf-8"?>
<comments xmlns="http://schemas.openxmlformats.org/spreadsheetml/2006/main">
  <authors>
    <author/>
  </authors>
  <commentList>
    <comment ref="J20" authorId="0" shapeId="0">
      <text>
        <r>
          <rPr>
            <sz val="11"/>
            <color theme="1"/>
            <rFont val="Calibri"/>
            <scheme val="minor"/>
          </rPr>
          <t>======
ID#AAABJqxvOOQ
Aki Suzuki - CDPHE    (2024-05-03 21:54:06)
Can I assume with this dataset that "0" also means Non-detect? @kelsey.barton@state.co.us
------
ID#AAABJqxvOOU
Aki Suzuki - CDPHE    (2024-05-03 21:57:25)
Answer is yes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hBr3JbboKdipHZDT5A2OGC0DL+qg=="/>
    </ext>
  </extLst>
</comments>
</file>

<file path=xl/sharedStrings.xml><?xml version="1.0" encoding="utf-8"?>
<sst xmlns="http://schemas.openxmlformats.org/spreadsheetml/2006/main" count="574" uniqueCount="62">
  <si>
    <t>Date</t>
  </si>
  <si>
    <t>Sample ID</t>
  </si>
  <si>
    <t>Name_OR_Site</t>
  </si>
  <si>
    <t>Address</t>
  </si>
  <si>
    <t>Latitude</t>
  </si>
  <si>
    <t>Longitude</t>
  </si>
  <si>
    <t>Data Source</t>
  </si>
  <si>
    <t>Type</t>
  </si>
  <si>
    <t>Number of Samples</t>
  </si>
  <si>
    <t>Max of PFOS</t>
  </si>
  <si>
    <t>Max of PFOA</t>
  </si>
  <si>
    <t>Max of PFHxS</t>
  </si>
  <si>
    <t>Max of PFHxA</t>
  </si>
  <si>
    <t>Max of PFBS</t>
  </si>
  <si>
    <t>Sum PFOS PFOA</t>
  </si>
  <si>
    <t>Sum PFAS</t>
  </si>
  <si>
    <t>Units</t>
  </si>
  <si>
    <t>Confidential</t>
  </si>
  <si>
    <t>SL_11</t>
  </si>
  <si>
    <t>Sugarloaf Fire Protection District</t>
  </si>
  <si>
    <t>Sugarloaf FPD</t>
  </si>
  <si>
    <t>Private Well</t>
  </si>
  <si>
    <t>ng/L</t>
  </si>
  <si>
    <t>Yes</t>
  </si>
  <si>
    <t>SL_20</t>
  </si>
  <si>
    <t>SL_12</t>
  </si>
  <si>
    <t>ND</t>
  </si>
  <si>
    <t>SL_16</t>
  </si>
  <si>
    <t>SL_17</t>
  </si>
  <si>
    <t>SL_19</t>
  </si>
  <si>
    <t>SL_21</t>
  </si>
  <si>
    <t>SL_25</t>
  </si>
  <si>
    <t>SL_28</t>
  </si>
  <si>
    <t>SL_29</t>
  </si>
  <si>
    <t>SL_30</t>
  </si>
  <si>
    <t>SL_31</t>
  </si>
  <si>
    <t>SL_32</t>
  </si>
  <si>
    <t>SL_9</t>
  </si>
  <si>
    <t>SL_13</t>
  </si>
  <si>
    <t>SL_2</t>
  </si>
  <si>
    <t>SL_14</t>
  </si>
  <si>
    <t>SL_23</t>
  </si>
  <si>
    <t>SL_1</t>
  </si>
  <si>
    <t>SL_3</t>
  </si>
  <si>
    <t>SL_4</t>
  </si>
  <si>
    <t>SL_5</t>
  </si>
  <si>
    <t>SL_6</t>
  </si>
  <si>
    <t>SL_7</t>
  </si>
  <si>
    <t>SL_8</t>
  </si>
  <si>
    <t>SL_10</t>
  </si>
  <si>
    <t>SL_15</t>
  </si>
  <si>
    <t>SL_18</t>
  </si>
  <si>
    <t>SL_22</t>
  </si>
  <si>
    <t>SL_24</t>
  </si>
  <si>
    <t>SL_26</t>
  </si>
  <si>
    <t>SL_27</t>
  </si>
  <si>
    <t>SL_33</t>
  </si>
  <si>
    <t>SL_34</t>
  </si>
  <si>
    <t>SL_35</t>
  </si>
  <si>
    <t>ID</t>
  </si>
  <si>
    <t>Min Date</t>
  </si>
  <si>
    <t>Max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</si>
</sst>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0000000000"/>
  </numFmts>
  <fonts count="4" x14ac:knownFonts="1">
    <font>
      <sz val="11"/>
      <color theme="1"/>
      <name val="Calibri"/>
      <scheme val="minor"/>
    </font>
    <font>
      <b/>
      <sz val="10"/>
      <color theme="1"/>
      <name val="Arial"/>
    </font>
    <font>
      <b/>
      <sz val="11"/>
      <color theme="1"/>
      <name val="Calibri"/>
    </font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 applyFont="1" applyAlignment="1"/>
    <xf numFmtId="14" fontId="1" fillId="0" borderId="0" xfId="0" applyNumberFormat="1" applyFont="1" applyAlignment="1">
      <alignment horizontal="left" wrapText="1"/>
    </xf>
    <xf numFmtId="0" fontId="1" fillId="0" borderId="0" xfId="0" applyFont="1" applyAlignment="1">
      <alignment horizontal="left" wrapText="1"/>
    </xf>
    <xf numFmtId="0" fontId="2" fillId="0" borderId="0" xfId="0" applyFont="1" applyAlignment="1">
      <alignment wrapText="1"/>
    </xf>
    <xf numFmtId="164" fontId="1" fillId="0" borderId="0" xfId="0" applyNumberFormat="1" applyFont="1" applyAlignment="1">
      <alignment horizontal="left" wrapText="1"/>
    </xf>
    <xf numFmtId="0" fontId="3" fillId="0" borderId="0" xfId="0" applyFont="1" applyAlignment="1">
      <alignment wrapText="1"/>
    </xf>
    <xf numFmtId="14" fontId="3" fillId="0" borderId="0" xfId="0" applyNumberFormat="1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comments2.xml.rels><?xml version="1.0" encoding="UTF-8" standalone="yes"?>
<Relationships xmlns="http://schemas.openxmlformats.org/package/2006/relationships"><Relationship Id="rId1" Type="http://customschemas.google.com/relationships/workbookmetadata" Target="commentsmeta1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Z1000"/>
  <sheetViews>
    <sheetView tabSelected="1" workbookViewId="0">
      <selection activeCell="D34" sqref="D34"/>
    </sheetView>
  </sheetViews>
  <sheetFormatPr defaultColWidth="14.42578125" defaultRowHeight="15" customHeight="1" x14ac:dyDescent="0.25"/>
  <cols>
    <col min="1" max="1" width="13.42578125" customWidth="1"/>
    <col min="2" max="2" width="12" customWidth="1"/>
    <col min="3" max="3" width="16.85546875" customWidth="1"/>
    <col min="4" max="4" width="17.85546875" customWidth="1"/>
    <col min="5" max="5" width="8.7109375" customWidth="1"/>
    <col min="6" max="6" width="12.28515625" customWidth="1"/>
    <col min="7" max="7" width="19" customWidth="1"/>
    <col min="8" max="8" width="26.5703125" customWidth="1"/>
    <col min="9" max="16" width="12.42578125" customWidth="1"/>
    <col min="17" max="17" width="8.7109375" customWidth="1"/>
    <col min="18" max="19" width="12.28515625" customWidth="1"/>
    <col min="20" max="20" width="13.5703125" customWidth="1"/>
    <col min="21" max="21" width="14.140625" customWidth="1"/>
    <col min="22" max="22" width="19" customWidth="1"/>
    <col min="23" max="23" width="14.85546875" customWidth="1"/>
    <col min="24" max="24" width="16.28515625" customWidth="1"/>
    <col min="25" max="26" width="8.7109375" customWidth="1"/>
  </cols>
  <sheetData>
    <row r="1" spans="1:26" ht="14.25" customHeight="1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2" t="s">
        <v>16</v>
      </c>
      <c r="R1" s="2" t="s">
        <v>17</v>
      </c>
      <c r="S1" s="2"/>
      <c r="T1" s="2"/>
      <c r="U1" s="2"/>
      <c r="V1" s="2"/>
      <c r="W1" s="4"/>
      <c r="X1" s="4"/>
      <c r="Y1" s="5"/>
      <c r="Z1" s="5"/>
    </row>
    <row r="2" spans="1:26" ht="14.25" customHeight="1" x14ac:dyDescent="0.25">
      <c r="A2" s="6">
        <v>43230</v>
      </c>
      <c r="B2" s="7" t="s">
        <v>18</v>
      </c>
      <c r="C2" s="5" t="s">
        <v>19</v>
      </c>
      <c r="E2" s="7">
        <v>40.016742499999999</v>
      </c>
      <c r="F2" s="7">
        <v>-105.357846</v>
      </c>
      <c r="G2" s="7" t="s">
        <v>20</v>
      </c>
      <c r="H2" s="7" t="s">
        <v>21</v>
      </c>
      <c r="I2" s="7">
        <v>1</v>
      </c>
      <c r="J2" s="7">
        <v>220</v>
      </c>
      <c r="K2" s="7">
        <v>14</v>
      </c>
      <c r="L2" s="7">
        <v>260</v>
      </c>
      <c r="M2" s="7">
        <v>69</v>
      </c>
      <c r="O2" s="7">
        <f t="shared" ref="O2:O3" si="0">J2+K2</f>
        <v>234</v>
      </c>
      <c r="P2" s="7">
        <v>563</v>
      </c>
      <c r="Q2" s="7" t="s">
        <v>22</v>
      </c>
      <c r="R2" s="7" t="s">
        <v>23</v>
      </c>
    </row>
    <row r="3" spans="1:26" ht="14.25" customHeight="1" x14ac:dyDescent="0.25">
      <c r="A3" s="6">
        <v>43230</v>
      </c>
      <c r="B3" s="7" t="s">
        <v>24</v>
      </c>
      <c r="C3" s="5" t="s">
        <v>19</v>
      </c>
      <c r="E3" s="7">
        <v>40.018704200000002</v>
      </c>
      <c r="F3" s="7">
        <v>-105.4047364</v>
      </c>
      <c r="G3" s="7" t="s">
        <v>20</v>
      </c>
      <c r="H3" s="7" t="s">
        <v>21</v>
      </c>
      <c r="I3" s="7">
        <v>2</v>
      </c>
      <c r="J3" s="7">
        <v>1200</v>
      </c>
      <c r="K3" s="7">
        <v>82</v>
      </c>
      <c r="L3" s="7">
        <v>540</v>
      </c>
      <c r="M3" s="7">
        <v>58</v>
      </c>
      <c r="O3" s="7">
        <f t="shared" si="0"/>
        <v>1282</v>
      </c>
      <c r="P3" s="7">
        <v>1880</v>
      </c>
      <c r="Q3" s="7" t="s">
        <v>22</v>
      </c>
      <c r="R3" s="7" t="s">
        <v>23</v>
      </c>
    </row>
    <row r="4" spans="1:26" ht="14.25" customHeight="1" x14ac:dyDescent="0.25">
      <c r="A4" s="6">
        <v>43252</v>
      </c>
      <c r="B4" s="7" t="s">
        <v>25</v>
      </c>
      <c r="C4" s="5" t="s">
        <v>19</v>
      </c>
      <c r="E4" s="7">
        <v>40.024830899999998</v>
      </c>
      <c r="F4" s="7">
        <v>-105.3874422</v>
      </c>
      <c r="G4" s="7" t="s">
        <v>20</v>
      </c>
      <c r="H4" s="7" t="s">
        <v>21</v>
      </c>
      <c r="I4" s="7">
        <v>1</v>
      </c>
      <c r="J4" s="7" t="s">
        <v>26</v>
      </c>
      <c r="K4" s="7" t="s">
        <v>26</v>
      </c>
      <c r="L4" s="7" t="s">
        <v>26</v>
      </c>
      <c r="M4" s="7" t="s">
        <v>26</v>
      </c>
      <c r="O4" s="7">
        <v>0</v>
      </c>
      <c r="P4" s="7" t="s">
        <v>26</v>
      </c>
      <c r="Q4" s="7" t="s">
        <v>22</v>
      </c>
      <c r="R4" s="7" t="s">
        <v>23</v>
      </c>
    </row>
    <row r="5" spans="1:26" ht="14.25" customHeight="1" x14ac:dyDescent="0.25">
      <c r="A5" s="6">
        <v>43254</v>
      </c>
      <c r="B5" s="7" t="s">
        <v>27</v>
      </c>
      <c r="C5" s="5" t="s">
        <v>19</v>
      </c>
      <c r="E5" s="7">
        <v>40.016913000000002</v>
      </c>
      <c r="F5" s="7">
        <v>-105.40303590000001</v>
      </c>
      <c r="G5" s="7" t="s">
        <v>20</v>
      </c>
      <c r="H5" s="7" t="s">
        <v>21</v>
      </c>
      <c r="I5" s="7">
        <v>1</v>
      </c>
      <c r="J5" s="7">
        <v>4.7</v>
      </c>
      <c r="K5" s="7">
        <v>5.3</v>
      </c>
      <c r="L5" s="7">
        <v>18</v>
      </c>
      <c r="M5" s="7">
        <v>6.4</v>
      </c>
      <c r="O5" s="7">
        <f>J5+K5</f>
        <v>10</v>
      </c>
      <c r="P5" s="7">
        <v>34.4</v>
      </c>
      <c r="Q5" s="7" t="s">
        <v>22</v>
      </c>
      <c r="R5" s="7" t="s">
        <v>23</v>
      </c>
    </row>
    <row r="6" spans="1:26" ht="14.25" customHeight="1" x14ac:dyDescent="0.25">
      <c r="A6" s="6">
        <v>43254</v>
      </c>
      <c r="B6" s="7" t="s">
        <v>28</v>
      </c>
      <c r="C6" s="5" t="s">
        <v>19</v>
      </c>
      <c r="E6" s="7">
        <v>40.018194800000003</v>
      </c>
      <c r="F6" s="7">
        <v>-105.4018289</v>
      </c>
      <c r="G6" s="7" t="s">
        <v>20</v>
      </c>
      <c r="H6" s="7" t="s">
        <v>21</v>
      </c>
      <c r="I6" s="7">
        <v>1</v>
      </c>
      <c r="J6" s="7" t="s">
        <v>26</v>
      </c>
      <c r="K6" s="7" t="s">
        <v>26</v>
      </c>
      <c r="L6" s="7" t="s">
        <v>26</v>
      </c>
      <c r="M6" s="7" t="s">
        <v>26</v>
      </c>
      <c r="O6" s="7">
        <v>0</v>
      </c>
      <c r="P6" s="7" t="s">
        <v>26</v>
      </c>
      <c r="Q6" s="7" t="s">
        <v>22</v>
      </c>
      <c r="R6" s="7" t="s">
        <v>23</v>
      </c>
    </row>
    <row r="7" spans="1:26" ht="14.25" customHeight="1" x14ac:dyDescent="0.25">
      <c r="A7" s="6">
        <v>43254</v>
      </c>
      <c r="B7" s="7" t="s">
        <v>29</v>
      </c>
      <c r="C7" s="5" t="s">
        <v>19</v>
      </c>
      <c r="E7" s="7">
        <v>40.0195176</v>
      </c>
      <c r="F7" s="7">
        <v>-105.4049402</v>
      </c>
      <c r="G7" s="7" t="s">
        <v>20</v>
      </c>
      <c r="H7" s="7" t="s">
        <v>21</v>
      </c>
      <c r="I7" s="7">
        <v>1</v>
      </c>
      <c r="J7" s="7">
        <v>210</v>
      </c>
      <c r="K7" s="7">
        <v>46</v>
      </c>
      <c r="L7" s="7">
        <v>290</v>
      </c>
      <c r="M7" s="7">
        <v>23</v>
      </c>
      <c r="O7" s="7">
        <f>J7+K7</f>
        <v>256</v>
      </c>
      <c r="P7" s="7">
        <v>569</v>
      </c>
      <c r="Q7" s="7" t="s">
        <v>22</v>
      </c>
      <c r="R7" s="7" t="s">
        <v>23</v>
      </c>
    </row>
    <row r="8" spans="1:26" ht="14.25" customHeight="1" x14ac:dyDescent="0.25">
      <c r="A8" s="6">
        <v>43254</v>
      </c>
      <c r="B8" s="7" t="s">
        <v>30</v>
      </c>
      <c r="C8" s="5" t="s">
        <v>19</v>
      </c>
      <c r="E8" s="7">
        <v>40.022151000000001</v>
      </c>
      <c r="F8" s="7">
        <v>-105.40747229999999</v>
      </c>
      <c r="G8" s="7" t="s">
        <v>20</v>
      </c>
      <c r="H8" s="7" t="s">
        <v>21</v>
      </c>
      <c r="I8" s="7">
        <v>1</v>
      </c>
      <c r="J8" s="7" t="s">
        <v>26</v>
      </c>
      <c r="K8" s="7" t="s">
        <v>26</v>
      </c>
      <c r="L8" s="7" t="s">
        <v>26</v>
      </c>
      <c r="M8" s="7" t="s">
        <v>26</v>
      </c>
      <c r="O8" s="7">
        <v>0</v>
      </c>
      <c r="P8" s="7" t="s">
        <v>26</v>
      </c>
      <c r="Q8" s="7" t="s">
        <v>22</v>
      </c>
      <c r="R8" s="7" t="s">
        <v>23</v>
      </c>
    </row>
    <row r="9" spans="1:26" ht="14.25" customHeight="1" x14ac:dyDescent="0.25">
      <c r="A9" s="6">
        <v>43254</v>
      </c>
      <c r="B9" s="7" t="s">
        <v>31</v>
      </c>
      <c r="C9" s="5" t="s">
        <v>19</v>
      </c>
      <c r="E9" s="7">
        <v>40.020783000000002</v>
      </c>
      <c r="F9" s="7">
        <v>-105.4079121</v>
      </c>
      <c r="G9" s="7" t="s">
        <v>20</v>
      </c>
      <c r="H9" s="7" t="s">
        <v>21</v>
      </c>
      <c r="I9" s="7">
        <v>1</v>
      </c>
      <c r="J9" s="7" t="s">
        <v>26</v>
      </c>
      <c r="K9" s="7" t="s">
        <v>26</v>
      </c>
      <c r="L9" s="7" t="s">
        <v>26</v>
      </c>
      <c r="M9" s="7" t="s">
        <v>26</v>
      </c>
      <c r="O9" s="7">
        <v>0</v>
      </c>
      <c r="P9" s="7" t="s">
        <v>26</v>
      </c>
      <c r="Q9" s="7" t="s">
        <v>22</v>
      </c>
      <c r="R9" s="7" t="s">
        <v>23</v>
      </c>
    </row>
    <row r="10" spans="1:26" ht="14.25" customHeight="1" x14ac:dyDescent="0.25">
      <c r="A10" s="6">
        <v>43254</v>
      </c>
      <c r="B10" s="7" t="s">
        <v>32</v>
      </c>
      <c r="C10" s="5" t="s">
        <v>19</v>
      </c>
      <c r="E10" s="7">
        <v>40.021275899999999</v>
      </c>
      <c r="F10" s="7">
        <v>-105.40378149999999</v>
      </c>
      <c r="G10" s="7" t="s">
        <v>20</v>
      </c>
      <c r="H10" s="7" t="s">
        <v>21</v>
      </c>
      <c r="I10" s="7">
        <v>1</v>
      </c>
      <c r="J10" s="7" t="s">
        <v>26</v>
      </c>
      <c r="K10" s="7" t="s">
        <v>26</v>
      </c>
      <c r="L10" s="7" t="s">
        <v>26</v>
      </c>
      <c r="M10" s="7" t="s">
        <v>26</v>
      </c>
      <c r="O10" s="7">
        <v>0</v>
      </c>
      <c r="P10" s="7" t="s">
        <v>26</v>
      </c>
      <c r="Q10" s="7" t="s">
        <v>22</v>
      </c>
      <c r="R10" s="7" t="s">
        <v>23</v>
      </c>
    </row>
    <row r="11" spans="1:26" ht="14.25" customHeight="1" x14ac:dyDescent="0.25">
      <c r="A11" s="6">
        <v>43254</v>
      </c>
      <c r="B11" s="7" t="s">
        <v>33</v>
      </c>
      <c r="C11" s="5" t="s">
        <v>19</v>
      </c>
      <c r="E11" s="7">
        <v>40.019879199999998</v>
      </c>
      <c r="F11" s="7">
        <v>-105.4034972</v>
      </c>
      <c r="G11" s="7" t="s">
        <v>20</v>
      </c>
      <c r="H11" s="7" t="s">
        <v>21</v>
      </c>
      <c r="I11" s="7">
        <v>1</v>
      </c>
      <c r="J11" s="7">
        <v>34</v>
      </c>
      <c r="K11" s="7">
        <v>3.5</v>
      </c>
      <c r="L11" s="7">
        <v>17</v>
      </c>
      <c r="O11" s="7">
        <f>J11+K11</f>
        <v>37.5</v>
      </c>
      <c r="P11" s="7">
        <v>54.5</v>
      </c>
      <c r="Q11" s="7" t="s">
        <v>22</v>
      </c>
      <c r="R11" s="7" t="s">
        <v>23</v>
      </c>
    </row>
    <row r="12" spans="1:26" ht="14.25" customHeight="1" x14ac:dyDescent="0.25">
      <c r="A12" s="6">
        <v>43254</v>
      </c>
      <c r="B12" s="7" t="s">
        <v>34</v>
      </c>
      <c r="C12" s="5" t="s">
        <v>19</v>
      </c>
      <c r="E12" s="7">
        <v>40.0197559</v>
      </c>
      <c r="F12" s="7">
        <v>-105.4071558</v>
      </c>
      <c r="G12" s="7" t="s">
        <v>20</v>
      </c>
      <c r="H12" s="7" t="s">
        <v>21</v>
      </c>
      <c r="I12" s="7">
        <v>1</v>
      </c>
      <c r="J12" s="7" t="s">
        <v>26</v>
      </c>
      <c r="K12" s="7" t="s">
        <v>26</v>
      </c>
      <c r="L12" s="7" t="s">
        <v>26</v>
      </c>
      <c r="M12" s="7" t="s">
        <v>26</v>
      </c>
      <c r="O12" s="7">
        <v>0</v>
      </c>
      <c r="P12" s="7" t="s">
        <v>26</v>
      </c>
      <c r="Q12" s="7" t="s">
        <v>22</v>
      </c>
      <c r="R12" s="7" t="s">
        <v>23</v>
      </c>
    </row>
    <row r="13" spans="1:26" ht="14.25" customHeight="1" x14ac:dyDescent="0.25">
      <c r="A13" s="6">
        <v>43254</v>
      </c>
      <c r="B13" s="7" t="s">
        <v>35</v>
      </c>
      <c r="C13" s="5" t="s">
        <v>19</v>
      </c>
      <c r="E13" s="7">
        <v>40.019258800000003</v>
      </c>
      <c r="F13" s="7">
        <v>-105.4088134</v>
      </c>
      <c r="G13" s="7" t="s">
        <v>20</v>
      </c>
      <c r="H13" s="7" t="s">
        <v>21</v>
      </c>
      <c r="I13" s="7">
        <v>1</v>
      </c>
      <c r="J13" s="7" t="s">
        <v>26</v>
      </c>
      <c r="K13" s="7">
        <v>3</v>
      </c>
      <c r="L13" s="7" t="s">
        <v>26</v>
      </c>
      <c r="M13" s="7" t="s">
        <v>26</v>
      </c>
      <c r="O13" s="7">
        <v>3</v>
      </c>
      <c r="P13" s="7">
        <v>3</v>
      </c>
      <c r="Q13" s="7" t="s">
        <v>22</v>
      </c>
      <c r="R13" s="7" t="s">
        <v>23</v>
      </c>
    </row>
    <row r="14" spans="1:26" ht="14.25" customHeight="1" x14ac:dyDescent="0.25">
      <c r="A14" s="6">
        <v>43254</v>
      </c>
      <c r="B14" s="7" t="s">
        <v>36</v>
      </c>
      <c r="C14" s="5" t="s">
        <v>19</v>
      </c>
      <c r="E14" s="7">
        <v>40.016941699999997</v>
      </c>
      <c r="F14" s="7">
        <v>-105.4085398</v>
      </c>
      <c r="G14" s="7" t="s">
        <v>20</v>
      </c>
      <c r="H14" s="7" t="s">
        <v>21</v>
      </c>
      <c r="I14" s="7">
        <v>1</v>
      </c>
      <c r="J14" s="7" t="s">
        <v>26</v>
      </c>
      <c r="K14" s="7" t="s">
        <v>26</v>
      </c>
      <c r="L14" s="7" t="s">
        <v>26</v>
      </c>
      <c r="M14" s="7" t="s">
        <v>26</v>
      </c>
      <c r="O14" s="7">
        <v>0</v>
      </c>
      <c r="P14" s="7" t="s">
        <v>26</v>
      </c>
      <c r="Q14" s="7" t="s">
        <v>22</v>
      </c>
      <c r="R14" s="7" t="s">
        <v>23</v>
      </c>
    </row>
    <row r="15" spans="1:26" ht="14.25" customHeight="1" x14ac:dyDescent="0.25">
      <c r="A15" s="6">
        <v>43255</v>
      </c>
      <c r="B15" s="7" t="s">
        <v>37</v>
      </c>
      <c r="C15" s="5" t="s">
        <v>19</v>
      </c>
      <c r="E15" s="7">
        <v>40.016602800000001</v>
      </c>
      <c r="F15" s="7">
        <v>-105.3564137</v>
      </c>
      <c r="G15" s="7" t="s">
        <v>20</v>
      </c>
      <c r="H15" s="7" t="s">
        <v>21</v>
      </c>
      <c r="I15" s="7">
        <v>1</v>
      </c>
      <c r="J15" s="7">
        <v>24</v>
      </c>
      <c r="K15" s="7" t="s">
        <v>26</v>
      </c>
      <c r="L15" s="7">
        <v>18</v>
      </c>
      <c r="M15" s="7" t="s">
        <v>26</v>
      </c>
      <c r="O15" s="7">
        <v>24</v>
      </c>
      <c r="P15" s="7">
        <v>42</v>
      </c>
      <c r="Q15" s="7" t="s">
        <v>22</v>
      </c>
      <c r="R15" s="7" t="s">
        <v>23</v>
      </c>
    </row>
    <row r="16" spans="1:26" ht="14.25" customHeight="1" x14ac:dyDescent="0.25">
      <c r="A16" s="6">
        <v>43255</v>
      </c>
      <c r="B16" s="7" t="s">
        <v>38</v>
      </c>
      <c r="C16" s="5" t="s">
        <v>19</v>
      </c>
      <c r="E16" s="7">
        <v>40.016738400000001</v>
      </c>
      <c r="F16" s="7">
        <v>-105.354681</v>
      </c>
      <c r="G16" s="7" t="s">
        <v>20</v>
      </c>
      <c r="H16" s="7" t="s">
        <v>21</v>
      </c>
      <c r="I16" s="7">
        <v>1</v>
      </c>
      <c r="J16" s="7">
        <v>8.1999999999999993</v>
      </c>
      <c r="K16" s="7">
        <v>6.4</v>
      </c>
      <c r="L16" s="7" t="s">
        <v>26</v>
      </c>
      <c r="M16" s="7" t="s">
        <v>26</v>
      </c>
      <c r="O16" s="7">
        <f>J16+K16</f>
        <v>14.6</v>
      </c>
      <c r="P16" s="7">
        <v>14.6</v>
      </c>
      <c r="Q16" s="7" t="s">
        <v>22</v>
      </c>
      <c r="R16" s="7" t="s">
        <v>23</v>
      </c>
    </row>
    <row r="17" spans="1:18" ht="14.25" customHeight="1" x14ac:dyDescent="0.25">
      <c r="A17" s="6">
        <v>43288</v>
      </c>
      <c r="B17" s="7" t="s">
        <v>39</v>
      </c>
      <c r="C17" s="5" t="s">
        <v>19</v>
      </c>
      <c r="E17" s="7">
        <v>40.023909799999998</v>
      </c>
      <c r="F17" s="7">
        <v>-105.38345510000001</v>
      </c>
      <c r="G17" s="7" t="s">
        <v>20</v>
      </c>
      <c r="H17" s="7" t="s">
        <v>21</v>
      </c>
      <c r="I17" s="7">
        <v>1</v>
      </c>
      <c r="J17" s="7" t="s">
        <v>26</v>
      </c>
      <c r="K17" s="7" t="s">
        <v>26</v>
      </c>
      <c r="L17" s="7" t="s">
        <v>26</v>
      </c>
      <c r="M17" s="7" t="s">
        <v>26</v>
      </c>
      <c r="O17" s="7">
        <v>0</v>
      </c>
      <c r="P17" s="7" t="s">
        <v>26</v>
      </c>
      <c r="Q17" s="7" t="s">
        <v>22</v>
      </c>
      <c r="R17" s="7" t="s">
        <v>23</v>
      </c>
    </row>
    <row r="18" spans="1:18" ht="14.25" customHeight="1" x14ac:dyDescent="0.25">
      <c r="A18" s="6">
        <v>43295</v>
      </c>
      <c r="B18" s="7" t="s">
        <v>40</v>
      </c>
      <c r="C18" s="5" t="s">
        <v>19</v>
      </c>
      <c r="E18" s="7">
        <v>40.025655299999997</v>
      </c>
      <c r="F18" s="7">
        <v>-105.388566</v>
      </c>
      <c r="G18" s="7" t="s">
        <v>20</v>
      </c>
      <c r="H18" s="7" t="s">
        <v>21</v>
      </c>
      <c r="I18" s="7">
        <v>1</v>
      </c>
      <c r="J18" s="7" t="s">
        <v>26</v>
      </c>
      <c r="K18" s="7" t="s">
        <v>26</v>
      </c>
      <c r="L18" s="7" t="s">
        <v>26</v>
      </c>
      <c r="M18" s="7" t="s">
        <v>26</v>
      </c>
      <c r="O18" s="7">
        <v>0</v>
      </c>
      <c r="P18" s="7" t="s">
        <v>26</v>
      </c>
      <c r="Q18" s="7" t="s">
        <v>22</v>
      </c>
      <c r="R18" s="7" t="s">
        <v>23</v>
      </c>
    </row>
    <row r="19" spans="1:18" ht="14.25" customHeight="1" x14ac:dyDescent="0.25">
      <c r="A19" s="6">
        <v>43312</v>
      </c>
      <c r="B19" s="7" t="s">
        <v>41</v>
      </c>
      <c r="C19" s="5" t="s">
        <v>19</v>
      </c>
      <c r="E19" s="7">
        <v>40.021482200000001</v>
      </c>
      <c r="F19" s="7">
        <v>-105.3802852</v>
      </c>
      <c r="G19" s="7" t="s">
        <v>20</v>
      </c>
      <c r="H19" s="7" t="s">
        <v>21</v>
      </c>
      <c r="I19" s="7">
        <v>1</v>
      </c>
      <c r="J19" s="7" t="s">
        <v>26</v>
      </c>
      <c r="K19" s="7" t="s">
        <v>26</v>
      </c>
      <c r="L19" s="7" t="s">
        <v>26</v>
      </c>
      <c r="M19" s="7" t="s">
        <v>26</v>
      </c>
      <c r="O19" s="7">
        <v>0</v>
      </c>
      <c r="P19" s="7" t="s">
        <v>26</v>
      </c>
      <c r="Q19" s="7" t="s">
        <v>22</v>
      </c>
      <c r="R19" s="7" t="s">
        <v>23</v>
      </c>
    </row>
    <row r="20" spans="1:18" ht="14.25" customHeight="1" x14ac:dyDescent="0.25">
      <c r="A20" s="6">
        <v>43331</v>
      </c>
      <c r="B20" s="7" t="s">
        <v>42</v>
      </c>
      <c r="C20" s="5" t="s">
        <v>19</v>
      </c>
      <c r="E20" s="7">
        <v>40.015260400000003</v>
      </c>
      <c r="F20" s="7">
        <v>-105.3543104</v>
      </c>
      <c r="G20" s="7" t="s">
        <v>20</v>
      </c>
      <c r="H20" s="7" t="s">
        <v>21</v>
      </c>
      <c r="I20" s="7">
        <v>1</v>
      </c>
      <c r="J20" s="7" t="s">
        <v>26</v>
      </c>
      <c r="K20" s="7" t="s">
        <v>26</v>
      </c>
      <c r="L20" s="7" t="s">
        <v>26</v>
      </c>
      <c r="M20" s="7" t="s">
        <v>26</v>
      </c>
      <c r="O20" s="7">
        <v>0</v>
      </c>
      <c r="P20" s="7">
        <v>0</v>
      </c>
      <c r="Q20" s="7" t="s">
        <v>22</v>
      </c>
      <c r="R20" s="7" t="s">
        <v>23</v>
      </c>
    </row>
    <row r="21" spans="1:18" ht="14.25" customHeight="1" x14ac:dyDescent="0.25">
      <c r="A21" s="6">
        <v>43331</v>
      </c>
      <c r="B21" s="7" t="s">
        <v>43</v>
      </c>
      <c r="C21" s="5" t="s">
        <v>19</v>
      </c>
      <c r="E21" s="7">
        <v>40.0136301</v>
      </c>
      <c r="F21" s="7">
        <v>-105.4021978</v>
      </c>
      <c r="G21" s="7" t="s">
        <v>20</v>
      </c>
      <c r="H21" s="7" t="s">
        <v>21</v>
      </c>
      <c r="I21" s="7">
        <v>1</v>
      </c>
      <c r="J21" s="7" t="s">
        <v>26</v>
      </c>
      <c r="K21" s="7" t="s">
        <v>26</v>
      </c>
      <c r="L21" s="7" t="s">
        <v>26</v>
      </c>
      <c r="M21" s="7" t="s">
        <v>26</v>
      </c>
      <c r="N21" s="7" t="s">
        <v>26</v>
      </c>
      <c r="O21" s="7">
        <v>0</v>
      </c>
      <c r="P21" s="7" t="s">
        <v>26</v>
      </c>
      <c r="Q21" s="7" t="s">
        <v>22</v>
      </c>
      <c r="R21" s="7" t="s">
        <v>23</v>
      </c>
    </row>
    <row r="22" spans="1:18" ht="14.25" customHeight="1" x14ac:dyDescent="0.25">
      <c r="A22" s="6">
        <v>43331</v>
      </c>
      <c r="B22" s="7" t="s">
        <v>44</v>
      </c>
      <c r="C22" s="5" t="s">
        <v>19</v>
      </c>
      <c r="E22" s="7">
        <v>40.016793700000001</v>
      </c>
      <c r="F22" s="7">
        <v>-105.3531777</v>
      </c>
      <c r="G22" s="7" t="s">
        <v>20</v>
      </c>
      <c r="H22" s="7" t="s">
        <v>21</v>
      </c>
      <c r="I22" s="7">
        <v>1</v>
      </c>
      <c r="J22" s="7" t="s">
        <v>26</v>
      </c>
      <c r="K22" s="7">
        <v>4</v>
      </c>
      <c r="L22" s="7">
        <v>48</v>
      </c>
      <c r="M22" s="7" t="s">
        <v>26</v>
      </c>
      <c r="N22" s="7" t="s">
        <v>26</v>
      </c>
      <c r="O22" s="7">
        <v>4</v>
      </c>
      <c r="P22" s="7">
        <v>52</v>
      </c>
      <c r="Q22" s="7" t="s">
        <v>22</v>
      </c>
      <c r="R22" s="7" t="s">
        <v>23</v>
      </c>
    </row>
    <row r="23" spans="1:18" ht="14.25" customHeight="1" x14ac:dyDescent="0.25">
      <c r="A23" s="6">
        <v>43331</v>
      </c>
      <c r="B23" s="7" t="s">
        <v>45</v>
      </c>
      <c r="C23" s="5" t="s">
        <v>19</v>
      </c>
      <c r="E23" s="7">
        <v>40.013697200000003</v>
      </c>
      <c r="F23" s="7">
        <v>-105.352542</v>
      </c>
      <c r="G23" s="7" t="s">
        <v>20</v>
      </c>
      <c r="H23" s="7" t="s">
        <v>21</v>
      </c>
      <c r="I23" s="7">
        <v>1</v>
      </c>
      <c r="J23" s="7" t="s">
        <v>26</v>
      </c>
      <c r="K23" s="7" t="s">
        <v>26</v>
      </c>
      <c r="L23" s="7" t="s">
        <v>26</v>
      </c>
      <c r="M23" s="7" t="s">
        <v>26</v>
      </c>
      <c r="O23" s="7">
        <v>0</v>
      </c>
      <c r="P23" s="7" t="s">
        <v>26</v>
      </c>
      <c r="Q23" s="7" t="s">
        <v>22</v>
      </c>
      <c r="R23" s="7" t="s">
        <v>23</v>
      </c>
    </row>
    <row r="24" spans="1:18" ht="14.25" customHeight="1" x14ac:dyDescent="0.25">
      <c r="A24" s="6">
        <v>43331</v>
      </c>
      <c r="B24" s="7" t="s">
        <v>46</v>
      </c>
      <c r="C24" s="5" t="s">
        <v>19</v>
      </c>
      <c r="E24" s="7">
        <v>40.023355700000003</v>
      </c>
      <c r="F24" s="7">
        <v>-105.4058193</v>
      </c>
      <c r="G24" s="7" t="s">
        <v>20</v>
      </c>
      <c r="H24" s="7" t="s">
        <v>21</v>
      </c>
      <c r="I24" s="7">
        <v>1</v>
      </c>
      <c r="J24" s="7" t="s">
        <v>26</v>
      </c>
      <c r="K24" s="7" t="s">
        <v>26</v>
      </c>
      <c r="L24" s="7" t="s">
        <v>26</v>
      </c>
      <c r="M24" s="7" t="s">
        <v>26</v>
      </c>
      <c r="N24" s="7" t="s">
        <v>26</v>
      </c>
      <c r="O24" s="7">
        <v>0</v>
      </c>
      <c r="P24" s="7" t="s">
        <v>26</v>
      </c>
      <c r="Q24" s="7" t="s">
        <v>22</v>
      </c>
      <c r="R24" s="7" t="s">
        <v>23</v>
      </c>
    </row>
    <row r="25" spans="1:18" ht="14.25" customHeight="1" x14ac:dyDescent="0.25">
      <c r="A25" s="6">
        <v>43331</v>
      </c>
      <c r="B25" s="7" t="s">
        <v>47</v>
      </c>
      <c r="C25" s="5" t="s">
        <v>19</v>
      </c>
      <c r="E25" s="7">
        <v>40.0162707</v>
      </c>
      <c r="F25" s="7">
        <v>-105.35539230000001</v>
      </c>
      <c r="G25" s="7" t="s">
        <v>20</v>
      </c>
      <c r="H25" s="7" t="s">
        <v>21</v>
      </c>
      <c r="I25" s="7">
        <v>3</v>
      </c>
      <c r="J25" s="7">
        <v>150</v>
      </c>
      <c r="K25" s="7">
        <v>12</v>
      </c>
      <c r="L25" s="7">
        <v>98</v>
      </c>
      <c r="M25" s="7">
        <v>7.5</v>
      </c>
      <c r="N25" s="7">
        <v>19</v>
      </c>
      <c r="O25" s="7">
        <f>J25+K25</f>
        <v>162</v>
      </c>
      <c r="P25" s="7">
        <v>286.5</v>
      </c>
      <c r="Q25" s="7" t="s">
        <v>22</v>
      </c>
      <c r="R25" s="7" t="s">
        <v>23</v>
      </c>
    </row>
    <row r="26" spans="1:18" ht="14.25" customHeight="1" x14ac:dyDescent="0.25">
      <c r="A26" s="6">
        <v>43331</v>
      </c>
      <c r="B26" s="7" t="s">
        <v>48</v>
      </c>
      <c r="C26" s="5" t="s">
        <v>19</v>
      </c>
      <c r="E26" s="7">
        <v>40.014178800000003</v>
      </c>
      <c r="F26" s="7">
        <v>-105.40352609999999</v>
      </c>
      <c r="G26" s="7" t="s">
        <v>20</v>
      </c>
      <c r="H26" s="7" t="s">
        <v>21</v>
      </c>
      <c r="I26" s="7">
        <v>1</v>
      </c>
      <c r="J26" s="7" t="s">
        <v>26</v>
      </c>
      <c r="K26" s="7" t="s">
        <v>26</v>
      </c>
      <c r="L26" s="7" t="s">
        <v>26</v>
      </c>
      <c r="M26" s="7" t="s">
        <v>26</v>
      </c>
      <c r="N26" s="7" t="s">
        <v>26</v>
      </c>
      <c r="O26" s="7">
        <v>0</v>
      </c>
      <c r="P26" s="7" t="s">
        <v>26</v>
      </c>
      <c r="Q26" s="7" t="s">
        <v>22</v>
      </c>
      <c r="R26" s="7" t="s">
        <v>23</v>
      </c>
    </row>
    <row r="27" spans="1:18" ht="14.25" customHeight="1" x14ac:dyDescent="0.25">
      <c r="A27" s="6">
        <v>43331</v>
      </c>
      <c r="B27" s="7" t="s">
        <v>49</v>
      </c>
      <c r="C27" s="5" t="s">
        <v>19</v>
      </c>
      <c r="E27" s="7">
        <v>40.017847799999998</v>
      </c>
      <c r="F27" s="7">
        <v>-105.3567925</v>
      </c>
      <c r="G27" s="7" t="s">
        <v>20</v>
      </c>
      <c r="H27" s="7" t="s">
        <v>21</v>
      </c>
      <c r="I27" s="7">
        <v>1</v>
      </c>
      <c r="J27" s="7" t="s">
        <v>26</v>
      </c>
      <c r="K27" s="7" t="s">
        <v>26</v>
      </c>
      <c r="L27" s="7" t="s">
        <v>26</v>
      </c>
      <c r="M27" s="7" t="s">
        <v>26</v>
      </c>
      <c r="N27" s="7" t="s">
        <v>26</v>
      </c>
      <c r="O27" s="7">
        <v>0</v>
      </c>
      <c r="P27" s="7" t="s">
        <v>26</v>
      </c>
      <c r="Q27" s="7" t="s">
        <v>22</v>
      </c>
      <c r="R27" s="7" t="s">
        <v>23</v>
      </c>
    </row>
    <row r="28" spans="1:18" ht="14.25" customHeight="1" x14ac:dyDescent="0.25">
      <c r="A28" s="6">
        <v>43331</v>
      </c>
      <c r="B28" s="7" t="s">
        <v>50</v>
      </c>
      <c r="C28" s="5" t="s">
        <v>19</v>
      </c>
      <c r="E28" s="7">
        <v>40.016224399999999</v>
      </c>
      <c r="F28" s="7">
        <v>-105.40061849999999</v>
      </c>
      <c r="G28" s="7" t="s">
        <v>20</v>
      </c>
      <c r="H28" s="7" t="s">
        <v>21</v>
      </c>
      <c r="I28" s="7">
        <v>1</v>
      </c>
      <c r="J28" s="7">
        <v>6</v>
      </c>
      <c r="K28" s="7">
        <v>3</v>
      </c>
      <c r="L28" s="7">
        <v>3</v>
      </c>
      <c r="M28" s="7" t="s">
        <v>26</v>
      </c>
      <c r="N28" s="7" t="s">
        <v>26</v>
      </c>
      <c r="O28" s="7">
        <f t="shared" ref="O28:O29" si="1">J28+K28</f>
        <v>9</v>
      </c>
      <c r="P28" s="7">
        <v>12</v>
      </c>
      <c r="Q28" s="7" t="s">
        <v>22</v>
      </c>
      <c r="R28" s="7" t="s">
        <v>23</v>
      </c>
    </row>
    <row r="29" spans="1:18" ht="14.25" customHeight="1" x14ac:dyDescent="0.25">
      <c r="A29" s="6">
        <v>43331</v>
      </c>
      <c r="B29" s="7" t="s">
        <v>51</v>
      </c>
      <c r="C29" s="5" t="s">
        <v>19</v>
      </c>
      <c r="E29" s="7">
        <v>40.018180600000001</v>
      </c>
      <c r="F29" s="7">
        <v>-105.4037338</v>
      </c>
      <c r="G29" s="7" t="s">
        <v>20</v>
      </c>
      <c r="H29" s="7" t="s">
        <v>21</v>
      </c>
      <c r="I29" s="7">
        <v>1</v>
      </c>
      <c r="J29" s="7">
        <v>66</v>
      </c>
      <c r="K29" s="7">
        <v>8</v>
      </c>
      <c r="L29" s="7">
        <v>70</v>
      </c>
      <c r="M29" s="7" t="s">
        <v>26</v>
      </c>
      <c r="N29" s="7">
        <v>11</v>
      </c>
      <c r="O29" s="7">
        <f t="shared" si="1"/>
        <v>74</v>
      </c>
      <c r="P29" s="7">
        <v>155</v>
      </c>
      <c r="Q29" s="7" t="s">
        <v>22</v>
      </c>
      <c r="R29" s="7" t="s">
        <v>23</v>
      </c>
    </row>
    <row r="30" spans="1:18" ht="14.25" customHeight="1" x14ac:dyDescent="0.25">
      <c r="A30" s="6">
        <v>43331</v>
      </c>
      <c r="B30" s="7" t="s">
        <v>52</v>
      </c>
      <c r="C30" s="5" t="s">
        <v>19</v>
      </c>
      <c r="E30" s="7">
        <v>40.014918899999998</v>
      </c>
      <c r="F30" s="7">
        <v>-105.40585900000001</v>
      </c>
      <c r="G30" s="7" t="s">
        <v>20</v>
      </c>
      <c r="H30" s="7" t="s">
        <v>21</v>
      </c>
      <c r="I30" s="7">
        <v>1</v>
      </c>
      <c r="J30" s="7" t="s">
        <v>26</v>
      </c>
      <c r="K30" s="7" t="s">
        <v>26</v>
      </c>
      <c r="L30" s="7" t="s">
        <v>26</v>
      </c>
      <c r="M30" s="7" t="s">
        <v>26</v>
      </c>
      <c r="N30" s="7" t="s">
        <v>26</v>
      </c>
      <c r="O30" s="7">
        <v>0</v>
      </c>
      <c r="P30" s="7" t="s">
        <v>26</v>
      </c>
      <c r="Q30" s="7" t="s">
        <v>22</v>
      </c>
      <c r="R30" s="7" t="s">
        <v>23</v>
      </c>
    </row>
    <row r="31" spans="1:18" ht="14.25" customHeight="1" x14ac:dyDescent="0.25">
      <c r="A31" s="6">
        <v>43331</v>
      </c>
      <c r="B31" s="7" t="s">
        <v>53</v>
      </c>
      <c r="C31" s="5" t="s">
        <v>19</v>
      </c>
      <c r="E31" s="7">
        <v>40.014084799999999</v>
      </c>
      <c r="F31" s="7">
        <v>-105.3584098</v>
      </c>
      <c r="G31" s="7" t="s">
        <v>20</v>
      </c>
      <c r="H31" s="7" t="s">
        <v>21</v>
      </c>
      <c r="I31" s="7">
        <v>1</v>
      </c>
      <c r="J31" s="7" t="s">
        <v>26</v>
      </c>
      <c r="K31" s="7" t="s">
        <v>26</v>
      </c>
      <c r="L31" s="7" t="s">
        <v>26</v>
      </c>
      <c r="M31" s="7" t="s">
        <v>26</v>
      </c>
      <c r="N31" s="7" t="s">
        <v>26</v>
      </c>
      <c r="O31" s="7">
        <v>0</v>
      </c>
      <c r="P31" s="7" t="s">
        <v>26</v>
      </c>
      <c r="Q31" s="7" t="s">
        <v>22</v>
      </c>
      <c r="R31" s="7" t="s">
        <v>23</v>
      </c>
    </row>
    <row r="32" spans="1:18" ht="14.25" customHeight="1" x14ac:dyDescent="0.25">
      <c r="A32" s="6">
        <v>43331</v>
      </c>
      <c r="B32" s="7" t="s">
        <v>54</v>
      </c>
      <c r="C32" s="5" t="s">
        <v>19</v>
      </c>
      <c r="E32" s="7">
        <v>40.019010600000001</v>
      </c>
      <c r="F32" s="7">
        <v>-105.3980536</v>
      </c>
      <c r="G32" s="7" t="s">
        <v>20</v>
      </c>
      <c r="H32" s="7" t="s">
        <v>21</v>
      </c>
      <c r="I32" s="7">
        <v>1</v>
      </c>
      <c r="J32" s="7" t="s">
        <v>26</v>
      </c>
      <c r="K32" s="7" t="s">
        <v>26</v>
      </c>
      <c r="L32" s="7" t="s">
        <v>26</v>
      </c>
      <c r="M32" s="7" t="s">
        <v>26</v>
      </c>
      <c r="N32" s="7" t="s">
        <v>26</v>
      </c>
      <c r="O32" s="7">
        <v>0</v>
      </c>
      <c r="P32" s="7" t="s">
        <v>26</v>
      </c>
      <c r="Q32" s="7" t="s">
        <v>22</v>
      </c>
      <c r="R32" s="7" t="s">
        <v>23</v>
      </c>
    </row>
    <row r="33" spans="1:18" ht="14.25" customHeight="1" x14ac:dyDescent="0.25">
      <c r="A33" s="6">
        <v>43331</v>
      </c>
      <c r="B33" s="7" t="s">
        <v>55</v>
      </c>
      <c r="C33" s="5" t="s">
        <v>19</v>
      </c>
      <c r="E33" s="7">
        <v>40.022615199999997</v>
      </c>
      <c r="F33" s="7">
        <v>-105.4025831</v>
      </c>
      <c r="G33" s="7" t="s">
        <v>20</v>
      </c>
      <c r="H33" s="7" t="s">
        <v>21</v>
      </c>
      <c r="I33" s="7">
        <v>1</v>
      </c>
      <c r="J33" s="7">
        <v>5</v>
      </c>
      <c r="K33" s="7" t="s">
        <v>26</v>
      </c>
      <c r="L33" s="7">
        <v>4</v>
      </c>
      <c r="M33" s="7" t="s">
        <v>26</v>
      </c>
      <c r="N33" s="7" t="s">
        <v>26</v>
      </c>
      <c r="O33" s="7">
        <v>5</v>
      </c>
      <c r="P33" s="7">
        <v>9</v>
      </c>
      <c r="Q33" s="7" t="s">
        <v>22</v>
      </c>
      <c r="R33" s="7" t="s">
        <v>23</v>
      </c>
    </row>
    <row r="34" spans="1:18" ht="14.25" customHeight="1" x14ac:dyDescent="0.25">
      <c r="A34" s="6">
        <v>43331</v>
      </c>
      <c r="B34" s="7" t="s">
        <v>56</v>
      </c>
      <c r="C34" s="5" t="s">
        <v>19</v>
      </c>
      <c r="E34" s="7">
        <v>40.011393099999999</v>
      </c>
      <c r="F34" s="7">
        <v>-105.3537632</v>
      </c>
      <c r="G34" s="7" t="s">
        <v>20</v>
      </c>
      <c r="H34" s="7" t="s">
        <v>21</v>
      </c>
      <c r="I34" s="7">
        <v>1</v>
      </c>
      <c r="J34" s="7" t="s">
        <v>26</v>
      </c>
      <c r="K34" s="7" t="s">
        <v>26</v>
      </c>
      <c r="L34" s="7" t="s">
        <v>26</v>
      </c>
      <c r="M34" s="7" t="s">
        <v>26</v>
      </c>
      <c r="O34" s="7">
        <v>0</v>
      </c>
      <c r="P34" s="7" t="s">
        <v>26</v>
      </c>
      <c r="Q34" s="7" t="s">
        <v>22</v>
      </c>
      <c r="R34" s="7" t="s">
        <v>23</v>
      </c>
    </row>
    <row r="35" spans="1:18" ht="14.25" customHeight="1" x14ac:dyDescent="0.25">
      <c r="A35" s="6">
        <v>43331</v>
      </c>
      <c r="B35" s="7" t="s">
        <v>57</v>
      </c>
      <c r="C35" s="5" t="s">
        <v>19</v>
      </c>
      <c r="E35" s="7">
        <v>40.017477100000001</v>
      </c>
      <c r="F35" s="7">
        <v>-105.3549852</v>
      </c>
      <c r="G35" s="7" t="s">
        <v>20</v>
      </c>
      <c r="H35" s="7" t="s">
        <v>21</v>
      </c>
      <c r="I35" s="7">
        <v>1</v>
      </c>
      <c r="J35" s="7" t="s">
        <v>26</v>
      </c>
      <c r="K35" s="7" t="s">
        <v>26</v>
      </c>
      <c r="L35" s="7" t="s">
        <v>26</v>
      </c>
      <c r="M35" s="7" t="s">
        <v>26</v>
      </c>
      <c r="N35" s="7" t="s">
        <v>26</v>
      </c>
      <c r="O35" s="7">
        <v>0</v>
      </c>
      <c r="P35" s="7" t="s">
        <v>26</v>
      </c>
      <c r="Q35" s="7" t="s">
        <v>22</v>
      </c>
      <c r="R35" s="7" t="s">
        <v>23</v>
      </c>
    </row>
    <row r="36" spans="1:18" ht="14.25" customHeight="1" x14ac:dyDescent="0.25">
      <c r="A36" s="6">
        <v>43331</v>
      </c>
      <c r="B36" s="7" t="s">
        <v>58</v>
      </c>
      <c r="C36" s="5" t="s">
        <v>19</v>
      </c>
      <c r="E36" s="7">
        <v>40.0135924</v>
      </c>
      <c r="F36" s="7">
        <v>-105.35089139999999</v>
      </c>
      <c r="G36" s="7" t="s">
        <v>20</v>
      </c>
      <c r="H36" s="7" t="s">
        <v>21</v>
      </c>
      <c r="I36" s="7">
        <v>1</v>
      </c>
      <c r="J36" s="7">
        <v>7</v>
      </c>
      <c r="K36" s="7" t="s">
        <v>26</v>
      </c>
      <c r="L36" s="7">
        <v>11</v>
      </c>
      <c r="M36" s="7" t="s">
        <v>26</v>
      </c>
      <c r="N36" s="7" t="s">
        <v>26</v>
      </c>
      <c r="O36" s="7">
        <v>7</v>
      </c>
      <c r="P36" s="7">
        <v>18</v>
      </c>
      <c r="Q36" s="7" t="s">
        <v>22</v>
      </c>
      <c r="R36" s="7" t="s">
        <v>23</v>
      </c>
    </row>
    <row r="37" spans="1:18" ht="14.25" customHeight="1" x14ac:dyDescent="0.25"/>
    <row r="38" spans="1:18" ht="14.25" customHeight="1" x14ac:dyDescent="0.25"/>
    <row r="39" spans="1:18" ht="14.25" customHeight="1" x14ac:dyDescent="0.25"/>
    <row r="40" spans="1:18" ht="14.25" customHeight="1" x14ac:dyDescent="0.25"/>
    <row r="41" spans="1:18" ht="14.25" customHeight="1" x14ac:dyDescent="0.25"/>
    <row r="42" spans="1:18" ht="14.25" customHeight="1" x14ac:dyDescent="0.25"/>
    <row r="43" spans="1:18" ht="14.25" customHeight="1" x14ac:dyDescent="0.25"/>
    <row r="44" spans="1:18" ht="14.25" customHeight="1" x14ac:dyDescent="0.25"/>
    <row r="45" spans="1:18" ht="14.25" customHeight="1" x14ac:dyDescent="0.25"/>
    <row r="46" spans="1:18" ht="14.25" customHeight="1" x14ac:dyDescent="0.25"/>
    <row r="47" spans="1:18" ht="14.25" customHeight="1" x14ac:dyDescent="0.25"/>
    <row r="48" spans="1:1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autoFilter ref="A1:X1"/>
  <pageMargins left="0.7" right="0.7" top="0.75" bottom="0.75" header="0" footer="0"/>
  <pageSetup orientation="portrait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N1000"/>
  <sheetViews>
    <sheetView workbookViewId="0">
      <selection activeCell="I29" sqref="I29"/>
    </sheetView>
  </sheetViews>
  <sheetFormatPr defaultColWidth="14.42578125" defaultRowHeight="15" customHeight="1" x14ac:dyDescent="0.25"/>
  <cols>
    <col min="1" max="1" width="8.7109375" customWidth="1"/>
    <col min="2" max="3" width="9.5703125" customWidth="1"/>
    <col min="4" max="4" width="18.85546875" customWidth="1"/>
    <col min="5" max="5" width="21.85546875" customWidth="1"/>
    <col min="6" max="6" width="19.7109375" customWidth="1"/>
    <col min="7" max="7" width="24.140625" customWidth="1"/>
    <col min="8" max="8" width="28.7109375" customWidth="1"/>
    <col min="9" max="9" width="21.5703125" customWidth="1"/>
    <col min="10" max="10" width="18.7109375" customWidth="1"/>
    <col min="11" max="11" width="22.7109375" customWidth="1"/>
    <col min="12" max="12" width="14.85546875" customWidth="1"/>
    <col min="13" max="13" width="16.28515625" customWidth="1"/>
    <col min="14" max="14" width="13" customWidth="1"/>
    <col min="15" max="26" width="8.7109375" customWidth="1"/>
  </cols>
  <sheetData>
    <row r="1" spans="1:14" ht="14.25" customHeight="1" x14ac:dyDescent="0.25">
      <c r="A1" s="7" t="s">
        <v>59</v>
      </c>
      <c r="B1" s="7" t="s">
        <v>60</v>
      </c>
      <c r="C1" s="7" t="s">
        <v>61</v>
      </c>
      <c r="D1" s="7" t="s">
        <v>8</v>
      </c>
      <c r="E1" s="7" t="s">
        <v>9</v>
      </c>
      <c r="F1" s="7" t="s">
        <v>10</v>
      </c>
      <c r="G1" s="7" t="s">
        <v>11</v>
      </c>
      <c r="H1" s="7" t="s">
        <v>12</v>
      </c>
      <c r="I1" s="7" t="s">
        <v>13</v>
      </c>
      <c r="J1" s="7" t="s">
        <v>14</v>
      </c>
      <c r="K1" s="7" t="s">
        <v>15</v>
      </c>
      <c r="L1" s="7" t="s">
        <v>4</v>
      </c>
      <c r="M1" s="7" t="s">
        <v>5</v>
      </c>
      <c r="N1" s="7" t="s">
        <v>17</v>
      </c>
    </row>
    <row r="2" spans="1:14" ht="14.25" customHeight="1" x14ac:dyDescent="0.25">
      <c r="A2" s="7" t="s">
        <v>18</v>
      </c>
      <c r="B2" s="6">
        <v>43230</v>
      </c>
      <c r="C2" s="6">
        <v>43230</v>
      </c>
      <c r="D2" s="7">
        <v>1</v>
      </c>
      <c r="E2" s="7">
        <v>220</v>
      </c>
      <c r="F2" s="7">
        <v>14</v>
      </c>
      <c r="G2" s="7">
        <v>260</v>
      </c>
      <c r="H2" s="7">
        <v>69</v>
      </c>
      <c r="J2" s="7">
        <f t="shared" ref="J2:J3" si="0">E2+F2</f>
        <v>234</v>
      </c>
      <c r="K2" s="7">
        <v>563</v>
      </c>
      <c r="L2" s="7">
        <v>40.016742499999999</v>
      </c>
      <c r="M2" s="7">
        <v>-105.357846</v>
      </c>
      <c r="N2" s="7" t="s">
        <v>23</v>
      </c>
    </row>
    <row r="3" spans="1:14" ht="14.25" customHeight="1" x14ac:dyDescent="0.25">
      <c r="A3" s="7" t="s">
        <v>24</v>
      </c>
      <c r="B3" s="6">
        <v>43191</v>
      </c>
      <c r="C3" s="6">
        <v>43230</v>
      </c>
      <c r="D3" s="7">
        <v>2</v>
      </c>
      <c r="E3" s="7">
        <v>1200</v>
      </c>
      <c r="F3" s="7">
        <v>82</v>
      </c>
      <c r="G3" s="7">
        <v>540</v>
      </c>
      <c r="H3" s="7">
        <v>58</v>
      </c>
      <c r="J3" s="7">
        <f t="shared" si="0"/>
        <v>1282</v>
      </c>
      <c r="K3" s="7">
        <v>1880</v>
      </c>
      <c r="L3" s="7">
        <v>40.018704200000002</v>
      </c>
      <c r="M3" s="7">
        <v>-105.4047364</v>
      </c>
      <c r="N3" s="7" t="s">
        <v>23</v>
      </c>
    </row>
    <row r="4" spans="1:14" ht="14.25" customHeight="1" x14ac:dyDescent="0.25">
      <c r="A4" s="7" t="s">
        <v>25</v>
      </c>
      <c r="B4" s="6">
        <v>43252</v>
      </c>
      <c r="C4" s="6">
        <v>43252</v>
      </c>
      <c r="D4" s="7">
        <v>1</v>
      </c>
      <c r="E4" s="7" t="s">
        <v>26</v>
      </c>
      <c r="F4" s="7" t="s">
        <v>26</v>
      </c>
      <c r="G4" s="7" t="s">
        <v>26</v>
      </c>
      <c r="H4" s="7" t="s">
        <v>26</v>
      </c>
      <c r="J4" s="7">
        <v>0</v>
      </c>
      <c r="K4" s="7" t="s">
        <v>26</v>
      </c>
      <c r="L4" s="7">
        <v>40.024830899999998</v>
      </c>
      <c r="M4" s="7">
        <v>-105.3874422</v>
      </c>
      <c r="N4" s="7" t="s">
        <v>23</v>
      </c>
    </row>
    <row r="5" spans="1:14" ht="14.25" customHeight="1" x14ac:dyDescent="0.25">
      <c r="A5" s="7" t="s">
        <v>27</v>
      </c>
      <c r="B5" s="6">
        <v>43254</v>
      </c>
      <c r="C5" s="6">
        <v>43254</v>
      </c>
      <c r="D5" s="7">
        <v>1</v>
      </c>
      <c r="E5" s="7">
        <v>4.7</v>
      </c>
      <c r="F5" s="7">
        <v>5.3</v>
      </c>
      <c r="G5" s="7">
        <v>18</v>
      </c>
      <c r="H5" s="7">
        <v>6.4</v>
      </c>
      <c r="J5" s="7">
        <f>E5+F5</f>
        <v>10</v>
      </c>
      <c r="K5" s="7">
        <v>34.4</v>
      </c>
      <c r="L5" s="7">
        <v>40.016913000000002</v>
      </c>
      <c r="M5" s="7">
        <v>-105.40303590000001</v>
      </c>
      <c r="N5" s="7" t="s">
        <v>23</v>
      </c>
    </row>
    <row r="6" spans="1:14" ht="14.25" customHeight="1" x14ac:dyDescent="0.25">
      <c r="A6" s="7" t="s">
        <v>28</v>
      </c>
      <c r="B6" s="6">
        <v>43254</v>
      </c>
      <c r="C6" s="6">
        <v>43254</v>
      </c>
      <c r="D6" s="7">
        <v>1</v>
      </c>
      <c r="E6" s="7" t="s">
        <v>26</v>
      </c>
      <c r="F6" s="7" t="s">
        <v>26</v>
      </c>
      <c r="G6" s="7" t="s">
        <v>26</v>
      </c>
      <c r="H6" s="7" t="s">
        <v>26</v>
      </c>
      <c r="J6" s="7">
        <v>0</v>
      </c>
      <c r="K6" s="7" t="s">
        <v>26</v>
      </c>
      <c r="L6" s="7">
        <v>40.018194800000003</v>
      </c>
      <c r="M6" s="7">
        <v>-105.4018289</v>
      </c>
      <c r="N6" s="7" t="s">
        <v>23</v>
      </c>
    </row>
    <row r="7" spans="1:14" ht="14.25" customHeight="1" x14ac:dyDescent="0.25">
      <c r="A7" s="7" t="s">
        <v>29</v>
      </c>
      <c r="B7" s="6">
        <v>43254</v>
      </c>
      <c r="C7" s="6">
        <v>43254</v>
      </c>
      <c r="D7" s="7">
        <v>1</v>
      </c>
      <c r="E7" s="7">
        <v>210</v>
      </c>
      <c r="F7" s="7">
        <v>46</v>
      </c>
      <c r="G7" s="7">
        <v>290</v>
      </c>
      <c r="H7" s="7">
        <v>23</v>
      </c>
      <c r="J7" s="7">
        <f>E7+F7</f>
        <v>256</v>
      </c>
      <c r="K7" s="7">
        <v>569</v>
      </c>
      <c r="L7" s="7">
        <v>40.0195176</v>
      </c>
      <c r="M7" s="7">
        <v>-105.4049402</v>
      </c>
      <c r="N7" s="7" t="s">
        <v>23</v>
      </c>
    </row>
    <row r="8" spans="1:14" ht="14.25" customHeight="1" x14ac:dyDescent="0.25">
      <c r="A8" s="7" t="s">
        <v>30</v>
      </c>
      <c r="B8" s="6">
        <v>43254</v>
      </c>
      <c r="C8" s="6">
        <v>43254</v>
      </c>
      <c r="D8" s="7">
        <v>1</v>
      </c>
      <c r="E8" s="7" t="s">
        <v>26</v>
      </c>
      <c r="F8" s="7" t="s">
        <v>26</v>
      </c>
      <c r="G8" s="7" t="s">
        <v>26</v>
      </c>
      <c r="H8" s="7" t="s">
        <v>26</v>
      </c>
      <c r="J8" s="7">
        <v>0</v>
      </c>
      <c r="K8" s="7" t="s">
        <v>26</v>
      </c>
      <c r="L8" s="7">
        <v>40.022151000000001</v>
      </c>
      <c r="M8" s="7">
        <v>-105.40747229999999</v>
      </c>
      <c r="N8" s="7" t="s">
        <v>23</v>
      </c>
    </row>
    <row r="9" spans="1:14" ht="14.25" customHeight="1" x14ac:dyDescent="0.25">
      <c r="A9" s="7" t="s">
        <v>31</v>
      </c>
      <c r="B9" s="6">
        <v>43254</v>
      </c>
      <c r="C9" s="6">
        <v>43254</v>
      </c>
      <c r="D9" s="7">
        <v>1</v>
      </c>
      <c r="E9" s="7" t="s">
        <v>26</v>
      </c>
      <c r="F9" s="7" t="s">
        <v>26</v>
      </c>
      <c r="G9" s="7" t="s">
        <v>26</v>
      </c>
      <c r="H9" s="7" t="s">
        <v>26</v>
      </c>
      <c r="J9" s="7">
        <v>0</v>
      </c>
      <c r="K9" s="7" t="s">
        <v>26</v>
      </c>
      <c r="L9" s="7">
        <v>40.020783000000002</v>
      </c>
      <c r="M9" s="7">
        <v>-105.4079121</v>
      </c>
      <c r="N9" s="7" t="s">
        <v>23</v>
      </c>
    </row>
    <row r="10" spans="1:14" ht="14.25" customHeight="1" x14ac:dyDescent="0.25">
      <c r="A10" s="7" t="s">
        <v>32</v>
      </c>
      <c r="B10" s="6">
        <v>43254</v>
      </c>
      <c r="C10" s="6">
        <v>43254</v>
      </c>
      <c r="D10" s="7">
        <v>1</v>
      </c>
      <c r="E10" s="7" t="s">
        <v>26</v>
      </c>
      <c r="F10" s="7" t="s">
        <v>26</v>
      </c>
      <c r="G10" s="7" t="s">
        <v>26</v>
      </c>
      <c r="H10" s="7" t="s">
        <v>26</v>
      </c>
      <c r="J10" s="7">
        <v>0</v>
      </c>
      <c r="K10" s="7" t="s">
        <v>26</v>
      </c>
      <c r="L10" s="7">
        <v>40.021275899999999</v>
      </c>
      <c r="M10" s="7">
        <v>-105.40378149999999</v>
      </c>
      <c r="N10" s="7" t="s">
        <v>23</v>
      </c>
    </row>
    <row r="11" spans="1:14" ht="14.25" customHeight="1" x14ac:dyDescent="0.25">
      <c r="A11" s="7" t="s">
        <v>33</v>
      </c>
      <c r="B11" s="6">
        <v>43254</v>
      </c>
      <c r="C11" s="6">
        <v>43254</v>
      </c>
      <c r="D11" s="7">
        <v>1</v>
      </c>
      <c r="E11" s="7">
        <v>34</v>
      </c>
      <c r="F11" s="7">
        <v>3.5</v>
      </c>
      <c r="G11" s="7">
        <v>17</v>
      </c>
      <c r="J11" s="7">
        <f>E11+F11</f>
        <v>37.5</v>
      </c>
      <c r="K11" s="7">
        <v>54.5</v>
      </c>
      <c r="L11" s="7">
        <v>40.019879199999998</v>
      </c>
      <c r="M11" s="7">
        <v>-105.4034972</v>
      </c>
      <c r="N11" s="7" t="s">
        <v>23</v>
      </c>
    </row>
    <row r="12" spans="1:14" ht="14.25" customHeight="1" x14ac:dyDescent="0.25">
      <c r="A12" s="7" t="s">
        <v>34</v>
      </c>
      <c r="B12" s="6">
        <v>43254</v>
      </c>
      <c r="C12" s="6">
        <v>43254</v>
      </c>
      <c r="D12" s="7">
        <v>1</v>
      </c>
      <c r="E12" s="7" t="s">
        <v>26</v>
      </c>
      <c r="F12" s="7" t="s">
        <v>26</v>
      </c>
      <c r="G12" s="7" t="s">
        <v>26</v>
      </c>
      <c r="H12" s="7" t="s">
        <v>26</v>
      </c>
      <c r="J12" s="7">
        <v>0</v>
      </c>
      <c r="K12" s="7" t="s">
        <v>26</v>
      </c>
      <c r="L12" s="7">
        <v>40.0197559</v>
      </c>
      <c r="M12" s="7">
        <v>-105.4071558</v>
      </c>
      <c r="N12" s="7" t="s">
        <v>23</v>
      </c>
    </row>
    <row r="13" spans="1:14" ht="14.25" customHeight="1" x14ac:dyDescent="0.25">
      <c r="A13" s="7" t="s">
        <v>35</v>
      </c>
      <c r="B13" s="6">
        <v>43254</v>
      </c>
      <c r="C13" s="6">
        <v>43254</v>
      </c>
      <c r="D13" s="7">
        <v>1</v>
      </c>
      <c r="E13" s="7" t="s">
        <v>26</v>
      </c>
      <c r="F13" s="7">
        <v>3</v>
      </c>
      <c r="G13" s="7" t="s">
        <v>26</v>
      </c>
      <c r="H13" s="7" t="s">
        <v>26</v>
      </c>
      <c r="J13" s="7">
        <v>3</v>
      </c>
      <c r="K13" s="7">
        <v>3</v>
      </c>
      <c r="L13" s="7">
        <v>40.019258800000003</v>
      </c>
      <c r="M13" s="7">
        <v>-105.4088134</v>
      </c>
      <c r="N13" s="7" t="s">
        <v>23</v>
      </c>
    </row>
    <row r="14" spans="1:14" ht="14.25" customHeight="1" x14ac:dyDescent="0.25">
      <c r="A14" s="7" t="s">
        <v>36</v>
      </c>
      <c r="B14" s="6">
        <v>43254</v>
      </c>
      <c r="C14" s="6">
        <v>43254</v>
      </c>
      <c r="D14" s="7">
        <v>1</v>
      </c>
      <c r="E14" s="7" t="s">
        <v>26</v>
      </c>
      <c r="F14" s="7" t="s">
        <v>26</v>
      </c>
      <c r="G14" s="7" t="s">
        <v>26</v>
      </c>
      <c r="H14" s="7" t="s">
        <v>26</v>
      </c>
      <c r="J14" s="7">
        <v>0</v>
      </c>
      <c r="K14" s="7" t="s">
        <v>26</v>
      </c>
      <c r="L14" s="7">
        <v>40.016941699999997</v>
      </c>
      <c r="M14" s="7">
        <v>-105.4085398</v>
      </c>
      <c r="N14" s="7" t="s">
        <v>23</v>
      </c>
    </row>
    <row r="15" spans="1:14" ht="14.25" customHeight="1" x14ac:dyDescent="0.25">
      <c r="A15" s="7" t="s">
        <v>37</v>
      </c>
      <c r="B15" s="6">
        <v>43255</v>
      </c>
      <c r="C15" s="6">
        <v>43255</v>
      </c>
      <c r="D15" s="7">
        <v>1</v>
      </c>
      <c r="E15" s="7">
        <v>24</v>
      </c>
      <c r="F15" s="7" t="s">
        <v>26</v>
      </c>
      <c r="G15" s="7">
        <v>18</v>
      </c>
      <c r="H15" s="7" t="s">
        <v>26</v>
      </c>
      <c r="J15" s="7">
        <v>24</v>
      </c>
      <c r="K15" s="7">
        <v>42</v>
      </c>
      <c r="L15" s="7">
        <v>40.016602800000001</v>
      </c>
      <c r="M15" s="7">
        <v>-105.3564137</v>
      </c>
      <c r="N15" s="7" t="s">
        <v>23</v>
      </c>
    </row>
    <row r="16" spans="1:14" ht="14.25" customHeight="1" x14ac:dyDescent="0.25">
      <c r="A16" s="7" t="s">
        <v>38</v>
      </c>
      <c r="B16" s="6">
        <v>43255</v>
      </c>
      <c r="C16" s="6">
        <v>43255</v>
      </c>
      <c r="D16" s="7">
        <v>1</v>
      </c>
      <c r="E16" s="7">
        <v>8.1999999999999993</v>
      </c>
      <c r="F16" s="7">
        <v>6.4</v>
      </c>
      <c r="G16" s="7" t="s">
        <v>26</v>
      </c>
      <c r="H16" s="7" t="s">
        <v>26</v>
      </c>
      <c r="J16" s="7">
        <f>E16+F16</f>
        <v>14.6</v>
      </c>
      <c r="K16" s="7">
        <v>14.6</v>
      </c>
      <c r="L16" s="7">
        <v>40.016738400000001</v>
      </c>
      <c r="M16" s="7">
        <v>-105.354681</v>
      </c>
      <c r="N16" s="7" t="s">
        <v>23</v>
      </c>
    </row>
    <row r="17" spans="1:14" ht="14.25" customHeight="1" x14ac:dyDescent="0.25">
      <c r="A17" s="7" t="s">
        <v>39</v>
      </c>
      <c r="B17" s="6">
        <v>43288</v>
      </c>
      <c r="C17" s="6">
        <v>43288</v>
      </c>
      <c r="D17" s="7">
        <v>1</v>
      </c>
      <c r="E17" s="7" t="s">
        <v>26</v>
      </c>
      <c r="F17" s="7" t="s">
        <v>26</v>
      </c>
      <c r="G17" s="7" t="s">
        <v>26</v>
      </c>
      <c r="H17" s="7" t="s">
        <v>26</v>
      </c>
      <c r="J17" s="7">
        <v>0</v>
      </c>
      <c r="K17" s="7" t="s">
        <v>26</v>
      </c>
      <c r="L17" s="7">
        <v>40.023909799999998</v>
      </c>
      <c r="M17" s="7">
        <v>-105.38345510000001</v>
      </c>
      <c r="N17" s="7" t="s">
        <v>23</v>
      </c>
    </row>
    <row r="18" spans="1:14" ht="14.25" customHeight="1" x14ac:dyDescent="0.25">
      <c r="A18" s="7" t="s">
        <v>40</v>
      </c>
      <c r="B18" s="6">
        <v>43295</v>
      </c>
      <c r="C18" s="6">
        <v>43295</v>
      </c>
      <c r="D18" s="7">
        <v>1</v>
      </c>
      <c r="E18" s="7" t="s">
        <v>26</v>
      </c>
      <c r="F18" s="7" t="s">
        <v>26</v>
      </c>
      <c r="G18" s="7" t="s">
        <v>26</v>
      </c>
      <c r="H18" s="7" t="s">
        <v>26</v>
      </c>
      <c r="J18" s="7">
        <v>0</v>
      </c>
      <c r="K18" s="7" t="s">
        <v>26</v>
      </c>
      <c r="L18" s="7">
        <v>40.025655299999997</v>
      </c>
      <c r="M18" s="7">
        <v>-105.388566</v>
      </c>
      <c r="N18" s="7" t="s">
        <v>23</v>
      </c>
    </row>
    <row r="19" spans="1:14" ht="14.25" customHeight="1" x14ac:dyDescent="0.25">
      <c r="A19" s="7" t="s">
        <v>41</v>
      </c>
      <c r="B19" s="6">
        <v>43312</v>
      </c>
      <c r="C19" s="6">
        <v>43312</v>
      </c>
      <c r="D19" s="7">
        <v>1</v>
      </c>
      <c r="E19" s="7" t="s">
        <v>26</v>
      </c>
      <c r="F19" s="7" t="s">
        <v>26</v>
      </c>
      <c r="G19" s="7" t="s">
        <v>26</v>
      </c>
      <c r="H19" s="7" t="s">
        <v>26</v>
      </c>
      <c r="J19" s="7">
        <v>0</v>
      </c>
      <c r="K19" s="7" t="s">
        <v>26</v>
      </c>
      <c r="L19" s="7">
        <v>40.021482200000001</v>
      </c>
      <c r="M19" s="7">
        <v>-105.3802852</v>
      </c>
      <c r="N19" s="7" t="s">
        <v>23</v>
      </c>
    </row>
    <row r="20" spans="1:14" ht="14.25" customHeight="1" x14ac:dyDescent="0.25">
      <c r="A20" s="7" t="s">
        <v>42</v>
      </c>
      <c r="B20" s="6">
        <v>43331</v>
      </c>
      <c r="C20" s="6">
        <v>43331</v>
      </c>
      <c r="D20" s="7">
        <v>1</v>
      </c>
      <c r="E20" s="7" t="s">
        <v>26</v>
      </c>
      <c r="F20" s="7" t="s">
        <v>26</v>
      </c>
      <c r="G20" s="7" t="s">
        <v>26</v>
      </c>
      <c r="H20" s="7" t="s">
        <v>26</v>
      </c>
      <c r="J20" s="7">
        <v>0</v>
      </c>
      <c r="K20" s="7">
        <v>0</v>
      </c>
      <c r="L20" s="7">
        <v>40.015260400000003</v>
      </c>
      <c r="M20" s="7">
        <v>-105.3543104</v>
      </c>
      <c r="N20" s="7" t="s">
        <v>23</v>
      </c>
    </row>
    <row r="21" spans="1:14" ht="14.25" customHeight="1" x14ac:dyDescent="0.25">
      <c r="A21" s="7" t="s">
        <v>43</v>
      </c>
      <c r="B21" s="6">
        <v>43331</v>
      </c>
      <c r="C21" s="6">
        <v>43331</v>
      </c>
      <c r="D21" s="7">
        <v>1</v>
      </c>
      <c r="E21" s="7" t="s">
        <v>26</v>
      </c>
      <c r="F21" s="7" t="s">
        <v>26</v>
      </c>
      <c r="G21" s="7" t="s">
        <v>26</v>
      </c>
      <c r="H21" s="7" t="s">
        <v>26</v>
      </c>
      <c r="I21" s="7" t="s">
        <v>26</v>
      </c>
      <c r="J21" s="7">
        <v>0</v>
      </c>
      <c r="K21" s="7" t="s">
        <v>26</v>
      </c>
      <c r="L21" s="7">
        <v>40.0136301</v>
      </c>
      <c r="M21" s="7">
        <v>-105.4021978</v>
      </c>
      <c r="N21" s="7" t="s">
        <v>23</v>
      </c>
    </row>
    <row r="22" spans="1:14" ht="14.25" customHeight="1" x14ac:dyDescent="0.25">
      <c r="A22" s="7" t="s">
        <v>44</v>
      </c>
      <c r="B22" s="6">
        <v>43331</v>
      </c>
      <c r="C22" s="6">
        <v>43331</v>
      </c>
      <c r="D22" s="7">
        <v>1</v>
      </c>
      <c r="E22" s="7" t="s">
        <v>26</v>
      </c>
      <c r="F22" s="7">
        <v>4</v>
      </c>
      <c r="G22" s="7">
        <v>48</v>
      </c>
      <c r="H22" s="7" t="s">
        <v>26</v>
      </c>
      <c r="I22" s="7" t="s">
        <v>26</v>
      </c>
      <c r="J22" s="7">
        <v>4</v>
      </c>
      <c r="K22" s="7">
        <v>52</v>
      </c>
      <c r="L22" s="7">
        <v>40.016793700000001</v>
      </c>
      <c r="M22" s="7">
        <v>-105.3531777</v>
      </c>
      <c r="N22" s="7" t="s">
        <v>23</v>
      </c>
    </row>
    <row r="23" spans="1:14" ht="14.25" customHeight="1" x14ac:dyDescent="0.25">
      <c r="A23" s="7" t="s">
        <v>45</v>
      </c>
      <c r="B23" s="6">
        <v>43331</v>
      </c>
      <c r="C23" s="6">
        <v>43331</v>
      </c>
      <c r="D23" s="7">
        <v>1</v>
      </c>
      <c r="E23" s="7" t="s">
        <v>26</v>
      </c>
      <c r="F23" s="7" t="s">
        <v>26</v>
      </c>
      <c r="G23" s="7" t="s">
        <v>26</v>
      </c>
      <c r="H23" s="7" t="s">
        <v>26</v>
      </c>
      <c r="J23" s="7">
        <v>0</v>
      </c>
      <c r="K23" s="7" t="s">
        <v>26</v>
      </c>
      <c r="L23" s="7">
        <v>40.013697200000003</v>
      </c>
      <c r="M23" s="7">
        <v>-105.352542</v>
      </c>
      <c r="N23" s="7" t="s">
        <v>23</v>
      </c>
    </row>
    <row r="24" spans="1:14" ht="14.25" customHeight="1" x14ac:dyDescent="0.25">
      <c r="A24" s="7" t="s">
        <v>46</v>
      </c>
      <c r="B24" s="6">
        <v>43331</v>
      </c>
      <c r="C24" s="6">
        <v>43331</v>
      </c>
      <c r="D24" s="7">
        <v>1</v>
      </c>
      <c r="E24" s="7" t="s">
        <v>26</v>
      </c>
      <c r="F24" s="7" t="s">
        <v>26</v>
      </c>
      <c r="G24" s="7" t="s">
        <v>26</v>
      </c>
      <c r="H24" s="7" t="s">
        <v>26</v>
      </c>
      <c r="I24" s="7" t="s">
        <v>26</v>
      </c>
      <c r="J24" s="7">
        <v>0</v>
      </c>
      <c r="K24" s="7" t="s">
        <v>26</v>
      </c>
      <c r="L24" s="7">
        <v>40.023355700000003</v>
      </c>
      <c r="M24" s="7">
        <v>-105.4058193</v>
      </c>
      <c r="N24" s="7" t="s">
        <v>23</v>
      </c>
    </row>
    <row r="25" spans="1:14" ht="14.25" customHeight="1" x14ac:dyDescent="0.25">
      <c r="A25" s="7" t="s">
        <v>47</v>
      </c>
      <c r="B25" s="6">
        <v>43277</v>
      </c>
      <c r="C25" s="6">
        <v>43331</v>
      </c>
      <c r="D25" s="7">
        <v>3</v>
      </c>
      <c r="E25" s="7">
        <v>150</v>
      </c>
      <c r="F25" s="7">
        <v>12</v>
      </c>
      <c r="G25" s="7">
        <v>98</v>
      </c>
      <c r="H25" s="7">
        <v>7.5</v>
      </c>
      <c r="I25" s="7">
        <v>19</v>
      </c>
      <c r="J25" s="7">
        <f>E25+F25</f>
        <v>162</v>
      </c>
      <c r="K25" s="7">
        <v>286.5</v>
      </c>
      <c r="L25" s="7">
        <v>40.0162707</v>
      </c>
      <c r="M25" s="7">
        <v>-105.35539230000001</v>
      </c>
      <c r="N25" s="7" t="s">
        <v>23</v>
      </c>
    </row>
    <row r="26" spans="1:14" ht="14.25" customHeight="1" x14ac:dyDescent="0.25">
      <c r="A26" s="7" t="s">
        <v>48</v>
      </c>
      <c r="B26" s="6">
        <v>43331</v>
      </c>
      <c r="C26" s="6">
        <v>43331</v>
      </c>
      <c r="D26" s="7">
        <v>1</v>
      </c>
      <c r="E26" s="7" t="s">
        <v>26</v>
      </c>
      <c r="F26" s="7" t="s">
        <v>26</v>
      </c>
      <c r="G26" s="7" t="s">
        <v>26</v>
      </c>
      <c r="H26" s="7" t="s">
        <v>26</v>
      </c>
      <c r="I26" s="7" t="s">
        <v>26</v>
      </c>
      <c r="J26" s="7">
        <v>0</v>
      </c>
      <c r="K26" s="7" t="s">
        <v>26</v>
      </c>
      <c r="L26" s="7">
        <v>40.014178800000003</v>
      </c>
      <c r="M26" s="7">
        <v>-105.40352609999999</v>
      </c>
      <c r="N26" s="7" t="s">
        <v>23</v>
      </c>
    </row>
    <row r="27" spans="1:14" ht="14.25" customHeight="1" x14ac:dyDescent="0.25">
      <c r="A27" s="7" t="s">
        <v>49</v>
      </c>
      <c r="B27" s="6">
        <v>43331</v>
      </c>
      <c r="C27" s="6">
        <v>43331</v>
      </c>
      <c r="D27" s="7">
        <v>1</v>
      </c>
      <c r="E27" s="7" t="s">
        <v>26</v>
      </c>
      <c r="F27" s="7" t="s">
        <v>26</v>
      </c>
      <c r="G27" s="7" t="s">
        <v>26</v>
      </c>
      <c r="H27" s="7" t="s">
        <v>26</v>
      </c>
      <c r="I27" s="7" t="s">
        <v>26</v>
      </c>
      <c r="J27" s="7">
        <v>0</v>
      </c>
      <c r="K27" s="7" t="s">
        <v>26</v>
      </c>
      <c r="L27" s="7">
        <v>40.017847799999998</v>
      </c>
      <c r="M27" s="7">
        <v>-105.3567925</v>
      </c>
      <c r="N27" s="7" t="s">
        <v>23</v>
      </c>
    </row>
    <row r="28" spans="1:14" ht="14.25" customHeight="1" x14ac:dyDescent="0.25">
      <c r="A28" s="7" t="s">
        <v>50</v>
      </c>
      <c r="B28" s="6">
        <v>43331</v>
      </c>
      <c r="C28" s="6">
        <v>43331</v>
      </c>
      <c r="D28" s="7">
        <v>1</v>
      </c>
      <c r="E28" s="7">
        <v>6</v>
      </c>
      <c r="F28" s="7">
        <v>3</v>
      </c>
      <c r="G28" s="7">
        <v>3</v>
      </c>
      <c r="H28" s="7" t="s">
        <v>26</v>
      </c>
      <c r="I28" s="7" t="s">
        <v>26</v>
      </c>
      <c r="J28" s="7">
        <f t="shared" ref="J28:J29" si="1">E28+F28</f>
        <v>9</v>
      </c>
      <c r="K28" s="7">
        <v>12</v>
      </c>
      <c r="L28" s="7">
        <v>40.016224399999999</v>
      </c>
      <c r="M28" s="7">
        <v>-105.40061849999999</v>
      </c>
      <c r="N28" s="7" t="s">
        <v>23</v>
      </c>
    </row>
    <row r="29" spans="1:14" ht="14.25" customHeight="1" x14ac:dyDescent="0.25">
      <c r="A29" s="7" t="s">
        <v>51</v>
      </c>
      <c r="B29" s="6">
        <v>43331</v>
      </c>
      <c r="C29" s="6">
        <v>43331</v>
      </c>
      <c r="D29" s="7">
        <v>1</v>
      </c>
      <c r="E29" s="7">
        <v>66</v>
      </c>
      <c r="F29" s="7">
        <v>8</v>
      </c>
      <c r="G29" s="7">
        <v>70</v>
      </c>
      <c r="H29" s="7" t="s">
        <v>26</v>
      </c>
      <c r="I29" s="7">
        <v>11</v>
      </c>
      <c r="J29" s="7">
        <f t="shared" si="1"/>
        <v>74</v>
      </c>
      <c r="K29" s="7">
        <v>155</v>
      </c>
      <c r="L29" s="7">
        <v>40.018180600000001</v>
      </c>
      <c r="M29" s="7">
        <v>-105.4037338</v>
      </c>
      <c r="N29" s="7" t="s">
        <v>23</v>
      </c>
    </row>
    <row r="30" spans="1:14" ht="14.25" customHeight="1" x14ac:dyDescent="0.25">
      <c r="A30" s="7" t="s">
        <v>52</v>
      </c>
      <c r="B30" s="6">
        <v>43331</v>
      </c>
      <c r="C30" s="6">
        <v>43331</v>
      </c>
      <c r="D30" s="7">
        <v>1</v>
      </c>
      <c r="E30" s="7" t="s">
        <v>26</v>
      </c>
      <c r="F30" s="7" t="s">
        <v>26</v>
      </c>
      <c r="G30" s="7" t="s">
        <v>26</v>
      </c>
      <c r="H30" s="7" t="s">
        <v>26</v>
      </c>
      <c r="I30" s="7" t="s">
        <v>26</v>
      </c>
      <c r="J30" s="7">
        <v>0</v>
      </c>
      <c r="K30" s="7" t="s">
        <v>26</v>
      </c>
      <c r="L30" s="7">
        <v>40.014918899999998</v>
      </c>
      <c r="M30" s="7">
        <v>-105.40585900000001</v>
      </c>
      <c r="N30" s="7" t="s">
        <v>23</v>
      </c>
    </row>
    <row r="31" spans="1:14" ht="14.25" customHeight="1" x14ac:dyDescent="0.25">
      <c r="A31" s="7" t="s">
        <v>53</v>
      </c>
      <c r="B31" s="6">
        <v>43331</v>
      </c>
      <c r="C31" s="6">
        <v>43331</v>
      </c>
      <c r="D31" s="7">
        <v>1</v>
      </c>
      <c r="E31" s="7" t="s">
        <v>26</v>
      </c>
      <c r="F31" s="7" t="s">
        <v>26</v>
      </c>
      <c r="G31" s="7" t="s">
        <v>26</v>
      </c>
      <c r="H31" s="7" t="s">
        <v>26</v>
      </c>
      <c r="I31" s="7" t="s">
        <v>26</v>
      </c>
      <c r="J31" s="7">
        <v>0</v>
      </c>
      <c r="K31" s="7" t="s">
        <v>26</v>
      </c>
      <c r="L31" s="7">
        <v>40.014084799999999</v>
      </c>
      <c r="M31" s="7">
        <v>-105.3584098</v>
      </c>
      <c r="N31" s="7" t="s">
        <v>23</v>
      </c>
    </row>
    <row r="32" spans="1:14" ht="14.25" customHeight="1" x14ac:dyDescent="0.25">
      <c r="A32" s="7" t="s">
        <v>54</v>
      </c>
      <c r="B32" s="6">
        <v>43331</v>
      </c>
      <c r="C32" s="6">
        <v>43331</v>
      </c>
      <c r="D32" s="7">
        <v>1</v>
      </c>
      <c r="E32" s="7" t="s">
        <v>26</v>
      </c>
      <c r="F32" s="7" t="s">
        <v>26</v>
      </c>
      <c r="G32" s="7" t="s">
        <v>26</v>
      </c>
      <c r="H32" s="7" t="s">
        <v>26</v>
      </c>
      <c r="I32" s="7" t="s">
        <v>26</v>
      </c>
      <c r="J32" s="7">
        <v>0</v>
      </c>
      <c r="K32" s="7" t="s">
        <v>26</v>
      </c>
      <c r="L32" s="7">
        <v>40.019010600000001</v>
      </c>
      <c r="M32" s="7">
        <v>-105.3980536</v>
      </c>
      <c r="N32" s="7" t="s">
        <v>23</v>
      </c>
    </row>
    <row r="33" spans="1:14" ht="14.25" customHeight="1" x14ac:dyDescent="0.25">
      <c r="A33" s="7" t="s">
        <v>55</v>
      </c>
      <c r="B33" s="6">
        <v>43331</v>
      </c>
      <c r="C33" s="6">
        <v>43331</v>
      </c>
      <c r="D33" s="7">
        <v>1</v>
      </c>
      <c r="E33" s="7">
        <v>5</v>
      </c>
      <c r="F33" s="7" t="s">
        <v>26</v>
      </c>
      <c r="G33" s="7">
        <v>4</v>
      </c>
      <c r="H33" s="7" t="s">
        <v>26</v>
      </c>
      <c r="I33" s="7" t="s">
        <v>26</v>
      </c>
      <c r="J33" s="7">
        <v>5</v>
      </c>
      <c r="K33" s="7">
        <v>9</v>
      </c>
      <c r="L33" s="7">
        <v>40.022615199999997</v>
      </c>
      <c r="M33" s="7">
        <v>-105.4025831</v>
      </c>
      <c r="N33" s="7" t="s">
        <v>23</v>
      </c>
    </row>
    <row r="34" spans="1:14" ht="14.25" customHeight="1" x14ac:dyDescent="0.25">
      <c r="A34" s="7" t="s">
        <v>56</v>
      </c>
      <c r="B34" s="6">
        <v>43331</v>
      </c>
      <c r="C34" s="6">
        <v>43331</v>
      </c>
      <c r="D34" s="7">
        <v>1</v>
      </c>
      <c r="E34" s="7" t="s">
        <v>26</v>
      </c>
      <c r="F34" s="7" t="s">
        <v>26</v>
      </c>
      <c r="G34" s="7" t="s">
        <v>26</v>
      </c>
      <c r="H34" s="7" t="s">
        <v>26</v>
      </c>
      <c r="J34" s="7">
        <v>0</v>
      </c>
      <c r="K34" s="7" t="s">
        <v>26</v>
      </c>
      <c r="L34" s="7">
        <v>40.011393099999999</v>
      </c>
      <c r="M34" s="7">
        <v>-105.3537632</v>
      </c>
      <c r="N34" s="7" t="s">
        <v>23</v>
      </c>
    </row>
    <row r="35" spans="1:14" ht="14.25" customHeight="1" x14ac:dyDescent="0.25">
      <c r="A35" s="7" t="s">
        <v>57</v>
      </c>
      <c r="B35" s="6">
        <v>43331</v>
      </c>
      <c r="C35" s="6">
        <v>43331</v>
      </c>
      <c r="D35" s="7">
        <v>1</v>
      </c>
      <c r="E35" s="7" t="s">
        <v>26</v>
      </c>
      <c r="F35" s="7" t="s">
        <v>26</v>
      </c>
      <c r="G35" s="7" t="s">
        <v>26</v>
      </c>
      <c r="H35" s="7" t="s">
        <v>26</v>
      </c>
      <c r="I35" s="7" t="s">
        <v>26</v>
      </c>
      <c r="J35" s="7">
        <v>0</v>
      </c>
      <c r="K35" s="7" t="s">
        <v>26</v>
      </c>
      <c r="L35" s="7">
        <v>40.017477100000001</v>
      </c>
      <c r="M35" s="7">
        <v>-105.3549852</v>
      </c>
      <c r="N35" s="7" t="s">
        <v>23</v>
      </c>
    </row>
    <row r="36" spans="1:14" ht="14.25" customHeight="1" x14ac:dyDescent="0.25">
      <c r="A36" s="7" t="s">
        <v>58</v>
      </c>
      <c r="B36" s="6">
        <v>43331</v>
      </c>
      <c r="C36" s="6">
        <v>43331</v>
      </c>
      <c r="D36" s="7">
        <v>1</v>
      </c>
      <c r="E36" s="7">
        <v>7</v>
      </c>
      <c r="F36" s="7" t="s">
        <v>26</v>
      </c>
      <c r="G36" s="7">
        <v>11</v>
      </c>
      <c r="H36" s="7" t="s">
        <v>26</v>
      </c>
      <c r="I36" s="7" t="s">
        <v>26</v>
      </c>
      <c r="J36" s="7">
        <v>7</v>
      </c>
      <c r="K36" s="7">
        <v>18</v>
      </c>
      <c r="L36" s="7">
        <v>40.0135924</v>
      </c>
      <c r="M36" s="7">
        <v>-105.35089139999999</v>
      </c>
      <c r="N36" s="7" t="s">
        <v>23</v>
      </c>
    </row>
    <row r="37" spans="1:14" ht="14.25" customHeight="1" x14ac:dyDescent="0.25"/>
    <row r="38" spans="1:14" ht="14.25" customHeight="1" x14ac:dyDescent="0.25"/>
    <row r="39" spans="1:14" ht="14.25" customHeight="1" x14ac:dyDescent="0.25"/>
    <row r="40" spans="1:14" ht="14.25" customHeight="1" x14ac:dyDescent="0.25"/>
    <row r="41" spans="1:14" ht="14.25" customHeight="1" x14ac:dyDescent="0.25"/>
    <row r="42" spans="1:14" ht="14.25" customHeight="1" x14ac:dyDescent="0.25"/>
    <row r="43" spans="1:14" ht="14.25" customHeight="1" x14ac:dyDescent="0.25"/>
    <row r="44" spans="1:14" ht="14.25" customHeight="1" x14ac:dyDescent="0.25"/>
    <row r="45" spans="1:14" ht="14.25" customHeight="1" x14ac:dyDescent="0.25"/>
    <row r="46" spans="1:14" ht="14.25" customHeight="1" x14ac:dyDescent="0.25"/>
    <row r="47" spans="1:14" ht="14.25" customHeight="1" x14ac:dyDescent="0.25"/>
    <row r="48" spans="1:14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autoFilter ref="A1:N1"/>
  <pageMargins left="0.7" right="0.7" top="0.75" bottom="0.75" header="0" footer="0"/>
  <pageSetup orientation="landscape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PrivateWell_Template_Format</vt:lpstr>
      <vt:lpstr>Original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Barton, Kelsey</dc:creator>
  <cp:lastModifiedBy>Suzuki, Aki</cp:lastModifiedBy>
  <dcterms:created xsi:type="dcterms:W3CDTF">2022-01-19T19:06:33Z</dcterms:created>
  <dcterms:modified xsi:type="dcterms:W3CDTF">2026-01-22T22:26:35Z</dcterms:modified>
</cp:coreProperties>
</file>