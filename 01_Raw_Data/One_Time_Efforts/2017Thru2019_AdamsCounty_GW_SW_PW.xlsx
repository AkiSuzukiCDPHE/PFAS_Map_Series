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ams wGAHCVMHPs Groundwater" sheetId="1" r:id="rId4"/>
    <sheet state="visible" name="Adams Private Wells" sheetId="2" r:id="rId5"/>
    <sheet state="visible" name="Adams SW" sheetId="3" r:id="rId6"/>
    <sheet state="visible" name="Real lat longs for Adams County" sheetId="4" r:id="rId7"/>
    <sheet state="visible" name="Links to original data" sheetId="5" r:id="rId8"/>
  </sheets>
  <definedNames>
    <definedName hidden="1" localSheetId="0" name="_xlnm._FilterDatabase">'Adams wGAHCVMHPs Groundwater'!$A$1:$AE$43</definedName>
  </definedNames>
  <calcPr/>
  <extLst>
    <ext uri="GoogleSheetsCustomDataVersion2">
      <go:sheetsCustomData xmlns:go="http://customooxmlschemas.google.com/" r:id="rId9" roundtripDataChecksum="HxvkDAdwCU9VPLRauV+lxz9P+IAvQKYFOgyhcZWVhCc="/>
    </ext>
  </extLst>
</workbook>
</file>

<file path=xl/sharedStrings.xml><?xml version="1.0" encoding="utf-8"?>
<sst xmlns="http://schemas.openxmlformats.org/spreadsheetml/2006/main" count="464" uniqueCount="84">
  <si>
    <t>Data_Source</t>
  </si>
  <si>
    <t>Name_OR_Site</t>
  </si>
  <si>
    <t>Sample_ID</t>
  </si>
  <si>
    <t>SampleLocID</t>
  </si>
  <si>
    <t>Media</t>
  </si>
  <si>
    <t>Sample_Date</t>
  </si>
  <si>
    <t>Number_Samples</t>
  </si>
  <si>
    <t>Units</t>
  </si>
  <si>
    <t>Sum_PFOS_PFOA</t>
  </si>
  <si>
    <t>PFOA_ugL</t>
  </si>
  <si>
    <t>PFOS_ugL</t>
  </si>
  <si>
    <t>PFBS_ugL</t>
  </si>
  <si>
    <t>PFOA</t>
  </si>
  <si>
    <t>PFOS</t>
  </si>
  <si>
    <t>PFBS</t>
  </si>
  <si>
    <t>Latitude_Real</t>
  </si>
  <si>
    <t>Longitude_Real</t>
  </si>
  <si>
    <t>Lat_jitter</t>
  </si>
  <si>
    <t>Long_Jitter</t>
  </si>
  <si>
    <t>Confidential_Location</t>
  </si>
  <si>
    <t>Notes</t>
  </si>
  <si>
    <t>Link_More_Info</t>
  </si>
  <si>
    <t xml:space="preserve">Adams County, Green Acres MHP, &amp;
Hillcrest Village Water CO. </t>
  </si>
  <si>
    <t>CDPHE PCS</t>
  </si>
  <si>
    <t>Groundwater</t>
  </si>
  <si>
    <t>ng/L</t>
  </si>
  <si>
    <t>Yes, default jitter if unknown</t>
  </si>
  <si>
    <t>https://www.sacwsd.org/249/Perfluorinated-Compounds-Detected</t>
  </si>
  <si>
    <t>ACMW_03</t>
  </si>
  <si>
    <t>CSC _MW_10</t>
  </si>
  <si>
    <t>MW_06</t>
  </si>
  <si>
    <t>MW_8</t>
  </si>
  <si>
    <t>OUI_WP5</t>
  </si>
  <si>
    <t>Pioneer Park</t>
  </si>
  <si>
    <t>SAC_MW_14</t>
  </si>
  <si>
    <t>SAC_MW_21</t>
  </si>
  <si>
    <t>SC_2</t>
  </si>
  <si>
    <t>SC_5</t>
  </si>
  <si>
    <t>DDPHE_Roslyn Street</t>
  </si>
  <si>
    <t>MW2Max</t>
  </si>
  <si>
    <t>MW_02_Max</t>
  </si>
  <si>
    <t>No, True Location Shown</t>
  </si>
  <si>
    <r>
      <rPr/>
      <t xml:space="preserve">VCUP Site, HAZ External ID RV201023-1 find docs: </t>
    </r>
    <r>
      <rPr>
        <color rgb="FF1155CC"/>
        <u/>
      </rPr>
      <t xml:space="preserve">https://oitco.hylandcloud.com/CDPHERMPublicAccess/index.html
5 Samples  12/21/2018 to 3/27/2019  
</t>
    </r>
  </si>
  <si>
    <t xml:space="preserve"> https://oitco.hylandcloud.com/CDPHERMPublicAccess/index.html</t>
  </si>
  <si>
    <t>MW3Max</t>
  </si>
  <si>
    <t>MW_03_Max</t>
  </si>
  <si>
    <r>
      <rPr/>
      <t xml:space="preserve">VCUP Site, HAZ External ID RV201023-1 find docs: </t>
    </r>
    <r>
      <rPr>
        <color rgb="FF1155CC"/>
        <u/>
      </rPr>
      <t xml:space="preserve">https://oitco.hylandcloud.com/CDPHERMPublicAccess/index.html
5 Samples  12/21/2018 to 3/27/2019  
</t>
    </r>
  </si>
  <si>
    <t>MW4Max</t>
  </si>
  <si>
    <t>MW_04_Max</t>
  </si>
  <si>
    <r>
      <rPr/>
      <t xml:space="preserve">VCUP Site, HAZ External ID RV201023-1 find docs: </t>
    </r>
    <r>
      <rPr>
        <color rgb="FF1155CC"/>
        <u/>
      </rPr>
      <t xml:space="preserve">https://oitco.hylandcloud.com/CDPHERMPublicAccess/index.html
5 Samples  12/21/2018 to 3/27/2019  
</t>
    </r>
  </si>
  <si>
    <t>MW1Max</t>
  </si>
  <si>
    <t>MW1_Max</t>
  </si>
  <si>
    <r>
      <rPr/>
      <t xml:space="preserve">VCUP Site, HAZ External ID RV201023-1 find docs: </t>
    </r>
    <r>
      <rPr>
        <color rgb="FF1155CC"/>
        <u/>
      </rPr>
      <t xml:space="preserve">https://oitco.hylandcloud.com/CDPHERMPublicAccess/index.html
5 Samples  12/21/2018 to 3/27/2019  
</t>
    </r>
  </si>
  <si>
    <t>Green Acres MHP</t>
  </si>
  <si>
    <t>WELL NO 1 - OFFICE</t>
  </si>
  <si>
    <t xml:space="preserve">WELL NO 2 - Daride St. </t>
  </si>
  <si>
    <t xml:space="preserve">Hillcrest Village Water CO. </t>
  </si>
  <si>
    <t>CENTER WELL NO 2</t>
  </si>
  <si>
    <t>EAST WELL NO 1</t>
  </si>
  <si>
    <t>WELL WEST NO 3</t>
  </si>
  <si>
    <t>RMA</t>
  </si>
  <si>
    <t xml:space="preserve">TriCounty </t>
  </si>
  <si>
    <t>4695 E 72nd</t>
  </si>
  <si>
    <t>Private Well</t>
  </si>
  <si>
    <t>6110 Ivanhoe</t>
  </si>
  <si>
    <t>6231 Olive</t>
  </si>
  <si>
    <t>6641 Colorado</t>
  </si>
  <si>
    <t>6951 Ash</t>
  </si>
  <si>
    <t>7008 Clermont</t>
  </si>
  <si>
    <t>7051 Cherry</t>
  </si>
  <si>
    <t>Comb_PFOA_PFOS_ugL</t>
  </si>
  <si>
    <t>SW_1</t>
  </si>
  <si>
    <t>Surface water</t>
  </si>
  <si>
    <t>SW_2</t>
  </si>
  <si>
    <t>SW_3</t>
  </si>
  <si>
    <t>SW_4</t>
  </si>
  <si>
    <t>SW_5</t>
  </si>
  <si>
    <t>Lat_dd</t>
  </si>
  <si>
    <t>Lon_dd</t>
  </si>
  <si>
    <t>MW4</t>
  </si>
  <si>
    <t xml:space="preserve">Adams County Data </t>
  </si>
  <si>
    <t>https://docs.google.com/spreadsheets/d/1emRvxLByYDN0BpVbA_Xcy4eoOtJy5eMj/edit?gid=1827404966#gid=1827404966</t>
  </si>
  <si>
    <t>Green Acres and Hillcrest Village Mobile Home Parks</t>
  </si>
  <si>
    <t>https://docs.google.com/spreadsheets/d/1j0suq7LLESWiq_oXxs_Am8xNk1mHbRxj/edit?gid=878383513#gid=878383513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</si>
</sst>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0.000"/>
  </numFmts>
  <fonts count="11">
    <font>
      <sz val="11.0"/>
      <color theme="1"/>
      <name val="Calibri"/>
      <scheme val="minor"/>
    </font>
    <font>
      <b/>
      <color theme="1"/>
      <name val="Calibri"/>
    </font>
    <font>
      <color theme="1"/>
      <name val="Calibri"/>
    </font>
    <font>
      <sz val="10.0"/>
      <color theme="1"/>
      <name val="Calibri"/>
    </font>
    <font>
      <sz val="11.0"/>
      <color theme="1"/>
      <name val="Calibri"/>
    </font>
    <font>
      <u/>
      <color rgb="FF0000FF"/>
    </font>
    <font>
      <sz val="11.0"/>
      <color rgb="FF000000"/>
      <name val="Calibri"/>
    </font>
    <font>
      <sz val="10.0"/>
      <color theme="1"/>
      <name val="Arial"/>
    </font>
    <font>
      <color theme="1"/>
      <name val="Calibri"/>
      <scheme val="minor"/>
    </font>
    <font>
      <b/>
      <sz val="10.0"/>
      <color theme="1"/>
      <name val="Calibri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" numFmtId="3" xfId="0" applyAlignment="1" applyFont="1" applyNumberFormat="1">
      <alignment horizontal="left"/>
    </xf>
    <xf borderId="0" fillId="0" fontId="2" numFmtId="16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4" numFmtId="164" xfId="0" applyAlignment="1" applyFont="1" applyNumberFormat="1">
      <alignment horizontal="left"/>
    </xf>
    <xf borderId="0" fillId="0" fontId="4" numFmtId="0" xfId="0" applyAlignment="1" applyFont="1">
      <alignment horizontal="left"/>
    </xf>
    <xf borderId="0" fillId="0" fontId="4" numFmtId="165" xfId="0" applyAlignment="1" applyFont="1" applyNumberFormat="1">
      <alignment horizontal="left"/>
    </xf>
    <xf borderId="0" fillId="0" fontId="4" numFmtId="1" xfId="0" applyAlignment="1" applyFont="1" applyNumberFormat="1">
      <alignment horizontal="left"/>
    </xf>
    <xf borderId="0" fillId="0" fontId="5" numFmtId="0" xfId="0" applyAlignment="1" applyFont="1">
      <alignment horizontal="left"/>
    </xf>
    <xf borderId="0" fillId="0" fontId="6" numFmtId="165" xfId="0" applyAlignment="1" applyFont="1" applyNumberFormat="1">
      <alignment horizontal="left"/>
    </xf>
    <xf borderId="0" fillId="0" fontId="7" numFmtId="0" xfId="0" applyAlignment="1" applyFont="1">
      <alignment horizontal="left" shrinkToFit="0" vertical="bottom" wrapText="1"/>
    </xf>
    <xf borderId="0" fillId="0" fontId="2" numFmtId="3" xfId="0" applyFont="1" applyNumberFormat="1"/>
    <xf borderId="0" fillId="0" fontId="8" numFmtId="164" xfId="0" applyFont="1" applyNumberFormat="1"/>
    <xf borderId="0" fillId="0" fontId="1" numFmtId="3" xfId="0" applyAlignment="1" applyFont="1" applyNumberFormat="1">
      <alignment horizontal="left"/>
    </xf>
    <xf borderId="0" fillId="0" fontId="1" numFmtId="164" xfId="0" applyAlignment="1" applyFont="1" applyNumberFormat="1">
      <alignment horizontal="left"/>
    </xf>
    <xf borderId="0" fillId="0" fontId="9" numFmtId="0" xfId="0" applyAlignment="1" applyFont="1">
      <alignment horizontal="left"/>
    </xf>
    <xf borderId="0" fillId="0" fontId="1" numFmtId="0" xfId="0" applyFont="1"/>
    <xf borderId="0" fillId="0" fontId="6" numFmtId="3" xfId="0" applyAlignment="1" applyFont="1" applyNumberFormat="1">
      <alignment shrinkToFit="0" vertical="bottom" wrapText="0"/>
    </xf>
    <xf borderId="0" fillId="0" fontId="2" numFmtId="0" xfId="0" applyFont="1"/>
    <xf borderId="0" fillId="0" fontId="4" numFmtId="164" xfId="0" applyFont="1" applyNumberFormat="1"/>
    <xf borderId="0" fillId="0" fontId="4" numFmtId="3" xfId="0" applyAlignment="1" applyFont="1" applyNumberFormat="1">
      <alignment horizontal="lef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oitco.hylandcloud.com/CDPHERMPublicAccess/index.html" TargetMode="External"/><Relationship Id="rId2" Type="http://schemas.openxmlformats.org/officeDocument/2006/relationships/hyperlink" Target="https://oitco.hylandcloud.com/CDPHERMPublicAccess/index.html" TargetMode="External"/><Relationship Id="rId3" Type="http://schemas.openxmlformats.org/officeDocument/2006/relationships/hyperlink" Target="https://oitco.hylandcloud.com/CDPHERMPublicAccess/index.html" TargetMode="External"/><Relationship Id="rId4" Type="http://schemas.openxmlformats.org/officeDocument/2006/relationships/hyperlink" Target="https://oitco.hylandcloud.com/CDPHERMPublicAccess/index.html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emRvxLByYDN0BpVbA_Xcy4eoOtJy5eMj/edit?gid=1827404966" TargetMode="External"/><Relationship Id="rId2" Type="http://schemas.openxmlformats.org/officeDocument/2006/relationships/hyperlink" Target="https://docs.google.com/spreadsheets/d/1j0suq7LLESWiq_oXxs_Am8xNk1mHbRxj/edit?gid=878383513" TargetMode="External"/><Relationship Id="rId3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29"/>
    <col customWidth="1" min="2" max="2" width="23.14"/>
    <col customWidth="1" min="3" max="3" width="14.71"/>
    <col customWidth="1" min="4" max="5" width="49.43"/>
    <col customWidth="1" min="6" max="8" width="32.29"/>
    <col customWidth="1" min="9" max="9" width="26.43"/>
    <col customWidth="1" min="10" max="10" width="16.0"/>
    <col customWidth="1" min="11" max="11" width="20.86"/>
    <col customWidth="1" min="12" max="12" width="18.0"/>
    <col customWidth="1" min="13" max="13" width="15.86"/>
    <col customWidth="1" min="14" max="14" width="8.71"/>
    <col customWidth="1" min="15" max="15" width="14.29"/>
    <col customWidth="1" min="16" max="16" width="15.14"/>
    <col customWidth="1" min="17" max="17" width="18.86"/>
    <col customWidth="1" min="18" max="18" width="15.14"/>
    <col customWidth="1" min="19" max="19" width="22.71"/>
    <col customWidth="1" min="20" max="20" width="34.71"/>
    <col customWidth="1" min="21" max="21" width="106.86"/>
    <col customWidth="1" min="22" max="22" width="62.86"/>
    <col customWidth="1" min="23" max="31" width="8.71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ht="14.25" customHeight="1">
      <c r="A2" s="2" t="s">
        <v>22</v>
      </c>
      <c r="B2" s="2" t="s">
        <v>23</v>
      </c>
      <c r="C2" s="2">
        <v>7.0</v>
      </c>
      <c r="D2" s="3">
        <v>3503.0</v>
      </c>
      <c r="E2" s="3" t="s">
        <v>24</v>
      </c>
      <c r="F2" s="6">
        <v>43522.0</v>
      </c>
      <c r="G2" s="7">
        <v>1.0</v>
      </c>
      <c r="H2" s="7" t="s">
        <v>25</v>
      </c>
      <c r="I2" s="2">
        <v>10.0</v>
      </c>
      <c r="J2" s="2">
        <v>0.004</v>
      </c>
      <c r="K2" s="2">
        <v>0.006</v>
      </c>
      <c r="L2" s="2"/>
      <c r="M2" s="2">
        <v>4.0</v>
      </c>
      <c r="N2" s="2">
        <v>6.0</v>
      </c>
      <c r="O2" s="2"/>
      <c r="P2" s="5">
        <f>vlookup(D2,'Real lat longs for Adams County'!$A$2:$C$51,2,0)</f>
        <v>39.825773</v>
      </c>
      <c r="Q2" s="5">
        <f>vlookup(D2,'Real lat longs for Adams County'!$A$2:$C$51,3,0)</f>
        <v>-104.897113</v>
      </c>
      <c r="R2" s="2">
        <v>39.83214677</v>
      </c>
      <c r="S2" s="2">
        <v>-104.8907392</v>
      </c>
      <c r="T2" s="2" t="s">
        <v>26</v>
      </c>
      <c r="U2" s="2"/>
      <c r="V2" s="2" t="s">
        <v>27</v>
      </c>
    </row>
    <row r="3" ht="14.25" customHeight="1">
      <c r="A3" s="2" t="s">
        <v>22</v>
      </c>
      <c r="B3" s="2" t="s">
        <v>23</v>
      </c>
      <c r="C3" s="2">
        <v>9.0</v>
      </c>
      <c r="D3" s="3">
        <v>4044.0</v>
      </c>
      <c r="E3" s="3" t="s">
        <v>24</v>
      </c>
      <c r="F3" s="6">
        <v>43522.0</v>
      </c>
      <c r="G3" s="7">
        <v>1.0</v>
      </c>
      <c r="H3" s="7" t="s">
        <v>25</v>
      </c>
      <c r="I3" s="2">
        <v>5.0</v>
      </c>
      <c r="J3" s="2">
        <v>0.005</v>
      </c>
      <c r="K3" s="2">
        <v>0.0</v>
      </c>
      <c r="L3" s="2">
        <v>0.0</v>
      </c>
      <c r="M3" s="2">
        <v>5.0</v>
      </c>
      <c r="N3" s="2">
        <v>0.0</v>
      </c>
      <c r="O3" s="2">
        <v>0.0</v>
      </c>
      <c r="P3" s="5">
        <f>vlookup(D3,'Real lat longs for Adams County'!$A$2:$C$51,2,0)</f>
        <v>39.817709</v>
      </c>
      <c r="Q3" s="5">
        <f>vlookup(D3,'Real lat longs for Adams County'!$A$2:$C$51,3,0)</f>
        <v>-104.899902</v>
      </c>
      <c r="R3" s="2">
        <v>39.8274762</v>
      </c>
      <c r="S3" s="2">
        <v>-104.8901348</v>
      </c>
      <c r="T3" s="2" t="s">
        <v>26</v>
      </c>
      <c r="U3" s="2"/>
      <c r="V3" s="2" t="s">
        <v>27</v>
      </c>
    </row>
    <row r="4" ht="14.25" customHeight="1">
      <c r="A4" s="2" t="s">
        <v>22</v>
      </c>
      <c r="B4" s="2" t="s">
        <v>23</v>
      </c>
      <c r="C4" s="2">
        <v>6.0</v>
      </c>
      <c r="D4" s="3" t="s">
        <v>28</v>
      </c>
      <c r="E4" s="3" t="s">
        <v>24</v>
      </c>
      <c r="F4" s="6">
        <v>43524.0</v>
      </c>
      <c r="G4" s="7">
        <v>1.0</v>
      </c>
      <c r="H4" s="7" t="s">
        <v>25</v>
      </c>
      <c r="I4" s="2">
        <v>10.0</v>
      </c>
      <c r="J4" s="2">
        <v>0.01</v>
      </c>
      <c r="K4" s="2">
        <v>0.0</v>
      </c>
      <c r="L4" s="2">
        <v>0.0</v>
      </c>
      <c r="M4" s="2">
        <v>10.0</v>
      </c>
      <c r="N4" s="2">
        <v>0.0</v>
      </c>
      <c r="O4" s="2">
        <v>0.0</v>
      </c>
      <c r="P4" s="5">
        <f>vlookup(D4,'Real lat longs for Adams County'!$A$2:$C$51,2,0)</f>
        <v>39.809994</v>
      </c>
      <c r="Q4" s="5">
        <f>vlookup(D4,'Real lat longs for Adams County'!$A$2:$C$51,3,0)</f>
        <v>-104.896923</v>
      </c>
      <c r="R4" s="2">
        <v>39.81962279</v>
      </c>
      <c r="S4" s="2">
        <v>-104.8872942</v>
      </c>
      <c r="T4" s="2" t="s">
        <v>26</v>
      </c>
      <c r="U4" s="2"/>
      <c r="V4" s="2" t="s">
        <v>27</v>
      </c>
    </row>
    <row r="5" ht="14.25" customHeight="1">
      <c r="A5" s="2" t="s">
        <v>22</v>
      </c>
      <c r="B5" s="2" t="s">
        <v>23</v>
      </c>
      <c r="C5" s="2">
        <v>3.0</v>
      </c>
      <c r="D5" s="3" t="s">
        <v>29</v>
      </c>
      <c r="E5" s="3" t="s">
        <v>24</v>
      </c>
      <c r="F5" s="6">
        <v>43523.0</v>
      </c>
      <c r="G5" s="7">
        <v>1.0</v>
      </c>
      <c r="H5" s="7" t="s">
        <v>25</v>
      </c>
      <c r="I5" s="2">
        <v>66.0</v>
      </c>
      <c r="J5" s="2">
        <v>0.025</v>
      </c>
      <c r="K5" s="2">
        <v>0.041</v>
      </c>
      <c r="L5" s="2">
        <v>0.022</v>
      </c>
      <c r="M5" s="2">
        <v>25.0</v>
      </c>
      <c r="N5" s="2">
        <v>41.0</v>
      </c>
      <c r="O5" s="2">
        <v>22.0</v>
      </c>
      <c r="P5" s="5">
        <f>vlookup(D5,'Real lat longs for Adams County'!$A$2:$C$51,2,0)</f>
        <v>39.793264</v>
      </c>
      <c r="Q5" s="5">
        <f>vlookup(D5,'Real lat longs for Adams County'!$A$2:$C$51,3,0)</f>
        <v>-104.921323</v>
      </c>
      <c r="R5" s="2">
        <v>39.80175764</v>
      </c>
      <c r="S5" s="2">
        <v>-104.9128294</v>
      </c>
      <c r="T5" s="2" t="s">
        <v>26</v>
      </c>
      <c r="U5" s="2"/>
      <c r="V5" s="2" t="s">
        <v>27</v>
      </c>
    </row>
    <row r="6" ht="14.25" customHeight="1">
      <c r="A6" s="2" t="s">
        <v>22</v>
      </c>
      <c r="B6" s="2" t="s">
        <v>23</v>
      </c>
      <c r="C6" s="2">
        <v>4.0</v>
      </c>
      <c r="D6" s="3" t="s">
        <v>30</v>
      </c>
      <c r="E6" s="3" t="s">
        <v>24</v>
      </c>
      <c r="F6" s="6">
        <v>43524.0</v>
      </c>
      <c r="G6" s="7">
        <v>1.0</v>
      </c>
      <c r="H6" s="7" t="s">
        <v>25</v>
      </c>
      <c r="I6" s="2">
        <v>37.0</v>
      </c>
      <c r="J6" s="2">
        <v>0.031</v>
      </c>
      <c r="K6" s="2">
        <v>0.006</v>
      </c>
      <c r="L6" s="2">
        <v>0.0</v>
      </c>
      <c r="M6" s="2">
        <v>31.0</v>
      </c>
      <c r="N6" s="2">
        <v>6.0</v>
      </c>
      <c r="O6" s="2">
        <v>0.0</v>
      </c>
      <c r="P6" s="5">
        <f>vlookup(D6,'Real lat longs for Adams County'!$A$2:$C$51,2,0)</f>
        <v>39.780116</v>
      </c>
      <c r="Q6" s="5">
        <f>vlookup(D6,'Real lat longs for Adams County'!$A$2:$C$51,3,0)</f>
        <v>-104.887869</v>
      </c>
      <c r="R6" s="2">
        <v>39.78690615</v>
      </c>
      <c r="S6" s="2">
        <v>-104.8810789</v>
      </c>
      <c r="T6" s="2" t="s">
        <v>26</v>
      </c>
      <c r="U6" s="2"/>
      <c r="V6" s="2" t="s">
        <v>27</v>
      </c>
    </row>
    <row r="7" ht="14.25" customHeight="1">
      <c r="A7" s="2" t="s">
        <v>22</v>
      </c>
      <c r="B7" s="2" t="s">
        <v>23</v>
      </c>
      <c r="C7" s="2">
        <v>5.0</v>
      </c>
      <c r="D7" s="3" t="s">
        <v>31</v>
      </c>
      <c r="E7" s="3" t="s">
        <v>24</v>
      </c>
      <c r="F7" s="6">
        <v>43521.0</v>
      </c>
      <c r="G7" s="7">
        <v>1.0</v>
      </c>
      <c r="H7" s="7" t="s">
        <v>25</v>
      </c>
      <c r="I7" s="2">
        <v>38.0</v>
      </c>
      <c r="J7" s="2">
        <v>0.016</v>
      </c>
      <c r="K7" s="2">
        <v>0.022</v>
      </c>
      <c r="L7" s="8">
        <v>0.031</v>
      </c>
      <c r="M7" s="2">
        <v>16.0</v>
      </c>
      <c r="N7" s="2">
        <v>22.0</v>
      </c>
      <c r="O7" s="2">
        <v>31.0</v>
      </c>
      <c r="P7" s="5">
        <f>vlookup(D7,'Real lat longs for Adams County'!$A$2:$C$51,2,0)</f>
        <v>39.798599</v>
      </c>
      <c r="Q7" s="5">
        <f>vlookup(D7,'Real lat longs for Adams County'!$A$2:$C$51,3,0)</f>
        <v>-104.903873</v>
      </c>
      <c r="R7" s="2">
        <v>39.80665448</v>
      </c>
      <c r="S7" s="2">
        <v>-104.8958175</v>
      </c>
      <c r="T7" s="2" t="s">
        <v>26</v>
      </c>
      <c r="U7" s="2"/>
      <c r="V7" s="2" t="s">
        <v>27</v>
      </c>
    </row>
    <row r="8" ht="14.25" customHeight="1">
      <c r="A8" s="2" t="s">
        <v>22</v>
      </c>
      <c r="B8" s="2" t="s">
        <v>23</v>
      </c>
      <c r="C8" s="2">
        <v>2.0</v>
      </c>
      <c r="D8" s="3" t="s">
        <v>32</v>
      </c>
      <c r="E8" s="3" t="s">
        <v>24</v>
      </c>
      <c r="F8" s="6">
        <v>43523.0</v>
      </c>
      <c r="G8" s="7">
        <v>1.0</v>
      </c>
      <c r="H8" s="7" t="s">
        <v>25</v>
      </c>
      <c r="I8" s="2">
        <v>9.0</v>
      </c>
      <c r="J8" s="2">
        <v>0.009</v>
      </c>
      <c r="K8" s="2">
        <v>0.0</v>
      </c>
      <c r="L8" s="2">
        <v>0.0</v>
      </c>
      <c r="M8" s="2">
        <v>9.0</v>
      </c>
      <c r="N8" s="2">
        <v>0.0</v>
      </c>
      <c r="O8" s="2">
        <v>0.0</v>
      </c>
      <c r="P8" s="5">
        <f>vlookup(D8,'Real lat longs for Adams County'!$A$2:$C$51,2,0)</f>
        <v>39.780437</v>
      </c>
      <c r="Q8" s="5">
        <f>vlookup(D8,'Real lat longs for Adams County'!$A$2:$C$51,3,0)</f>
        <v>-104.9127</v>
      </c>
      <c r="R8" s="2">
        <v>39.7858625</v>
      </c>
      <c r="S8" s="2">
        <v>-104.9072745</v>
      </c>
      <c r="T8" s="2" t="s">
        <v>26</v>
      </c>
      <c r="U8" s="2"/>
      <c r="V8" s="2" t="s">
        <v>27</v>
      </c>
    </row>
    <row r="9" ht="14.25" customHeight="1">
      <c r="A9" s="2" t="s">
        <v>22</v>
      </c>
      <c r="B9" s="2" t="s">
        <v>23</v>
      </c>
      <c r="C9" s="2">
        <v>8.0</v>
      </c>
      <c r="D9" s="3" t="s">
        <v>33</v>
      </c>
      <c r="E9" s="3" t="s">
        <v>24</v>
      </c>
      <c r="F9" s="6">
        <v>43521.0</v>
      </c>
      <c r="G9" s="7">
        <v>1.0</v>
      </c>
      <c r="H9" s="7" t="s">
        <v>25</v>
      </c>
      <c r="I9" s="2">
        <v>147.0</v>
      </c>
      <c r="J9" s="2">
        <v>0.014</v>
      </c>
      <c r="K9" s="2">
        <v>0.133</v>
      </c>
      <c r="L9" s="2">
        <v>0.018</v>
      </c>
      <c r="M9" s="2">
        <v>14.0</v>
      </c>
      <c r="N9" s="2">
        <v>133.0</v>
      </c>
      <c r="O9" s="2">
        <v>18.0</v>
      </c>
      <c r="P9" s="5">
        <f>vlookup(D9,'Real lat longs for Adams County'!$A$2:$C$51,2,0)</f>
        <v>39.804028</v>
      </c>
      <c r="Q9" s="5">
        <f>vlookup(D9,'Real lat longs for Adams County'!$A$2:$C$51,3,0)</f>
        <v>-104.913236</v>
      </c>
      <c r="R9" s="2">
        <v>39.81098651</v>
      </c>
      <c r="S9" s="2">
        <v>-104.9062775</v>
      </c>
      <c r="T9" s="2" t="s">
        <v>26</v>
      </c>
      <c r="U9" s="2"/>
      <c r="V9" s="2" t="s">
        <v>27</v>
      </c>
    </row>
    <row r="10" ht="14.25" customHeight="1">
      <c r="A10" s="2" t="s">
        <v>22</v>
      </c>
      <c r="B10" s="2" t="s">
        <v>23</v>
      </c>
      <c r="C10" s="2">
        <v>11.0</v>
      </c>
      <c r="D10" s="3" t="s">
        <v>34</v>
      </c>
      <c r="E10" s="3" t="s">
        <v>24</v>
      </c>
      <c r="F10" s="6">
        <v>43521.0</v>
      </c>
      <c r="G10" s="7">
        <v>1.0</v>
      </c>
      <c r="H10" s="7" t="s">
        <v>25</v>
      </c>
      <c r="I10" s="2">
        <v>32.0</v>
      </c>
      <c r="J10" s="2">
        <v>0.009</v>
      </c>
      <c r="K10" s="2">
        <v>0.023</v>
      </c>
      <c r="L10" s="9">
        <v>0.0</v>
      </c>
      <c r="M10" s="2">
        <v>9.0</v>
      </c>
      <c r="N10" s="2">
        <v>23.0</v>
      </c>
      <c r="O10" s="2">
        <v>0.0</v>
      </c>
      <c r="P10" s="5">
        <f>vlookup(D10,'Real lat longs for Adams County'!$A$2:$C$51,2,0)</f>
        <v>39.856436</v>
      </c>
      <c r="Q10" s="5">
        <f>vlookup(D10,'Real lat longs for Adams County'!$A$2:$C$51,3,0)</f>
        <v>-104.897393</v>
      </c>
      <c r="R10" s="2">
        <v>39.86248653</v>
      </c>
      <c r="S10" s="2">
        <v>-104.8913425</v>
      </c>
      <c r="T10" s="2" t="s">
        <v>26</v>
      </c>
      <c r="U10" s="2"/>
      <c r="V10" s="2" t="s">
        <v>27</v>
      </c>
    </row>
    <row r="11" ht="14.25" customHeight="1">
      <c r="A11" s="2" t="s">
        <v>22</v>
      </c>
      <c r="B11" s="2" t="s">
        <v>23</v>
      </c>
      <c r="C11" s="2">
        <v>10.0</v>
      </c>
      <c r="D11" s="3" t="s">
        <v>35</v>
      </c>
      <c r="E11" s="3" t="s">
        <v>24</v>
      </c>
      <c r="F11" s="6">
        <v>43521.0</v>
      </c>
      <c r="G11" s="7">
        <v>1.0</v>
      </c>
      <c r="H11" s="7" t="s">
        <v>25</v>
      </c>
      <c r="I11" s="2">
        <v>427.0</v>
      </c>
      <c r="J11" s="2">
        <v>0.037</v>
      </c>
      <c r="K11" s="2">
        <v>0.39</v>
      </c>
      <c r="L11" s="8">
        <v>0.025</v>
      </c>
      <c r="M11" s="2">
        <v>37.0</v>
      </c>
      <c r="N11" s="2">
        <v>390.0</v>
      </c>
      <c r="O11" s="2">
        <v>25.0</v>
      </c>
      <c r="P11" s="5">
        <f>vlookup(D11,'Real lat longs for Adams County'!$A$2:$C$51,2,0)</f>
        <v>39.835479</v>
      </c>
      <c r="Q11" s="5">
        <f>vlookup(D11,'Real lat longs for Adams County'!$A$2:$C$51,3,0)</f>
        <v>-104.903365</v>
      </c>
      <c r="R11" s="2">
        <v>39.84411857</v>
      </c>
      <c r="S11" s="2">
        <v>-104.8947254</v>
      </c>
      <c r="T11" s="2" t="s">
        <v>26</v>
      </c>
      <c r="U11" s="2"/>
      <c r="V11" s="2" t="s">
        <v>27</v>
      </c>
    </row>
    <row r="12" ht="14.25" customHeight="1">
      <c r="A12" s="2" t="s">
        <v>22</v>
      </c>
      <c r="B12" s="2" t="s">
        <v>23</v>
      </c>
      <c r="C12" s="2">
        <v>12.0</v>
      </c>
      <c r="D12" s="3" t="s">
        <v>36</v>
      </c>
      <c r="E12" s="3" t="s">
        <v>24</v>
      </c>
      <c r="F12" s="6">
        <v>43522.0</v>
      </c>
      <c r="G12" s="7">
        <v>1.0</v>
      </c>
      <c r="H12" s="7" t="s">
        <v>25</v>
      </c>
      <c r="I12" s="2">
        <v>24.0</v>
      </c>
      <c r="J12" s="2">
        <v>0.014</v>
      </c>
      <c r="K12" s="2">
        <v>0.01</v>
      </c>
      <c r="L12" s="8">
        <v>0.012</v>
      </c>
      <c r="M12" s="2">
        <v>14.0</v>
      </c>
      <c r="N12" s="2">
        <v>10.0</v>
      </c>
      <c r="O12" s="2">
        <v>12.0</v>
      </c>
      <c r="P12" s="5">
        <f>vlookup(D12,'Real lat longs for Adams County'!$A$2:$C$51,2,0)</f>
        <v>39.75997</v>
      </c>
      <c r="Q12" s="5">
        <f>vlookup(D12,'Real lat longs for Adams County'!$A$2:$C$51,3,0)</f>
        <v>-104.85631</v>
      </c>
      <c r="R12" s="2">
        <v>39.76768659</v>
      </c>
      <c r="S12" s="2">
        <v>-104.8485934</v>
      </c>
      <c r="T12" s="2" t="s">
        <v>26</v>
      </c>
      <c r="U12" s="2"/>
      <c r="V12" s="2" t="s">
        <v>27</v>
      </c>
    </row>
    <row r="13" ht="14.25" customHeight="1">
      <c r="A13" s="2" t="s">
        <v>22</v>
      </c>
      <c r="B13" s="2" t="s">
        <v>23</v>
      </c>
      <c r="C13" s="2">
        <v>13.0</v>
      </c>
      <c r="D13" s="3" t="s">
        <v>37</v>
      </c>
      <c r="E13" s="3" t="s">
        <v>24</v>
      </c>
      <c r="F13" s="6">
        <v>43522.0</v>
      </c>
      <c r="G13" s="7">
        <v>1.0</v>
      </c>
      <c r="H13" s="7" t="s">
        <v>25</v>
      </c>
      <c r="I13" s="2">
        <v>0.0</v>
      </c>
      <c r="J13" s="2">
        <v>0.0</v>
      </c>
      <c r="K13" s="2">
        <v>0.0</v>
      </c>
      <c r="L13" s="9">
        <v>0.0</v>
      </c>
      <c r="M13" s="2">
        <v>0.0</v>
      </c>
      <c r="N13" s="2">
        <v>0.0</v>
      </c>
      <c r="O13" s="2">
        <v>0.0</v>
      </c>
      <c r="P13" s="5">
        <f>vlookup(D13,'Real lat longs for Adams County'!$A$2:$C$51,2,0)</f>
        <v>39.7481</v>
      </c>
      <c r="Q13" s="5">
        <f>vlookup(D13,'Real lat longs for Adams County'!$A$2:$C$51,3,0)</f>
        <v>-104.8558</v>
      </c>
      <c r="R13" s="2">
        <v>39.7560162</v>
      </c>
      <c r="S13" s="2">
        <v>-104.8478838</v>
      </c>
      <c r="T13" s="2" t="s">
        <v>26</v>
      </c>
      <c r="U13" s="2"/>
      <c r="V13" s="2" t="s">
        <v>27</v>
      </c>
    </row>
    <row r="14" ht="14.25" customHeight="1">
      <c r="A14" s="2" t="s">
        <v>22</v>
      </c>
      <c r="B14" s="2" t="s">
        <v>38</v>
      </c>
      <c r="C14" s="2" t="s">
        <v>39</v>
      </c>
      <c r="D14" s="3" t="s">
        <v>40</v>
      </c>
      <c r="E14" s="3" t="s">
        <v>24</v>
      </c>
      <c r="F14" s="4">
        <v>43551.0</v>
      </c>
      <c r="G14" s="7">
        <v>5.0</v>
      </c>
      <c r="H14" s="7" t="s">
        <v>25</v>
      </c>
      <c r="I14" s="2">
        <v>5564.0</v>
      </c>
      <c r="J14" s="2">
        <v>0.314</v>
      </c>
      <c r="K14" s="2">
        <v>5.25</v>
      </c>
      <c r="L14" s="2">
        <v>0.0</v>
      </c>
      <c r="M14" s="2">
        <v>314.0</v>
      </c>
      <c r="N14" s="2">
        <v>5250.0</v>
      </c>
      <c r="O14" s="2">
        <v>0.0</v>
      </c>
      <c r="P14" s="5">
        <f>vlookup(D14,'Real lat longs for Adams County'!$A$2:$C$51,2,0)</f>
        <v>39.79795805</v>
      </c>
      <c r="Q14" s="5">
        <f>vlookup(D14,'Real lat longs for Adams County'!$A$2:$C$51,3,0)</f>
        <v>-104.90165</v>
      </c>
      <c r="R14" s="2">
        <v>39.79795805</v>
      </c>
      <c r="S14" s="2">
        <v>-104.90165</v>
      </c>
      <c r="T14" s="2" t="s">
        <v>41</v>
      </c>
      <c r="U14" s="10" t="s">
        <v>42</v>
      </c>
      <c r="V14" s="2" t="s">
        <v>43</v>
      </c>
    </row>
    <row r="15" ht="14.25" customHeight="1">
      <c r="A15" s="2" t="s">
        <v>22</v>
      </c>
      <c r="B15" s="2" t="s">
        <v>38</v>
      </c>
      <c r="C15" s="2" t="s">
        <v>44</v>
      </c>
      <c r="D15" s="3" t="s">
        <v>45</v>
      </c>
      <c r="E15" s="3" t="s">
        <v>24</v>
      </c>
      <c r="F15" s="4">
        <v>43551.0</v>
      </c>
      <c r="G15" s="7">
        <v>5.0</v>
      </c>
      <c r="H15" s="7" t="s">
        <v>25</v>
      </c>
      <c r="I15" s="2">
        <v>38100.0</v>
      </c>
      <c r="J15" s="2">
        <v>7.1</v>
      </c>
      <c r="K15" s="2">
        <v>31.0</v>
      </c>
      <c r="L15" s="2">
        <v>1.75</v>
      </c>
      <c r="M15" s="2">
        <v>7100.0</v>
      </c>
      <c r="N15" s="2">
        <v>31000.0</v>
      </c>
      <c r="O15" s="2">
        <v>1750.0</v>
      </c>
      <c r="P15" s="5">
        <f>vlookup(D15,'Real lat longs for Adams County'!$A$2:$C$51,2,0)</f>
        <v>39.79813302</v>
      </c>
      <c r="Q15" s="5">
        <f>vlookup(D15,'Real lat longs for Adams County'!$A$2:$C$51,3,0)</f>
        <v>-104.8989041</v>
      </c>
      <c r="R15" s="2">
        <v>39.79813302</v>
      </c>
      <c r="S15" s="2">
        <v>-104.8989041</v>
      </c>
      <c r="T15" s="2" t="s">
        <v>41</v>
      </c>
      <c r="U15" s="10" t="s">
        <v>46</v>
      </c>
      <c r="V15" s="2" t="s">
        <v>43</v>
      </c>
    </row>
    <row r="16" ht="14.25" customHeight="1">
      <c r="A16" s="2" t="s">
        <v>22</v>
      </c>
      <c r="B16" s="2" t="s">
        <v>38</v>
      </c>
      <c r="C16" s="2" t="s">
        <v>47</v>
      </c>
      <c r="D16" s="3" t="s">
        <v>48</v>
      </c>
      <c r="E16" s="3" t="s">
        <v>24</v>
      </c>
      <c r="F16" s="4">
        <v>43551.0</v>
      </c>
      <c r="G16" s="7">
        <v>5.0</v>
      </c>
      <c r="H16" s="7" t="s">
        <v>25</v>
      </c>
      <c r="I16" s="2">
        <v>7918.0</v>
      </c>
      <c r="J16" s="2">
        <v>0.818</v>
      </c>
      <c r="K16" s="2">
        <v>7.1</v>
      </c>
      <c r="L16" s="2">
        <v>0.33</v>
      </c>
      <c r="M16" s="2">
        <v>818.0</v>
      </c>
      <c r="N16" s="2">
        <v>7100.0</v>
      </c>
      <c r="O16" s="2">
        <v>330.0</v>
      </c>
      <c r="P16" s="5">
        <f>vlookup(D16,'Real lat longs for Adams County'!$A$2:$C$51,2,0)</f>
        <v>39.79493481</v>
      </c>
      <c r="Q16" s="5">
        <f>vlookup(D16,'Real lat longs for Adams County'!$A$2:$C$51,3,0)</f>
        <v>-104.8974783</v>
      </c>
      <c r="R16" s="2">
        <v>39.79493481</v>
      </c>
      <c r="S16" s="2">
        <v>-104.8974783</v>
      </c>
      <c r="T16" s="2" t="s">
        <v>41</v>
      </c>
      <c r="U16" s="10" t="s">
        <v>49</v>
      </c>
      <c r="V16" s="2" t="s">
        <v>43</v>
      </c>
    </row>
    <row r="17" ht="14.25" customHeight="1">
      <c r="A17" s="2" t="s">
        <v>22</v>
      </c>
      <c r="B17" s="2" t="s">
        <v>38</v>
      </c>
      <c r="C17" s="2" t="s">
        <v>50</v>
      </c>
      <c r="D17" s="3" t="s">
        <v>51</v>
      </c>
      <c r="E17" s="3" t="s">
        <v>24</v>
      </c>
      <c r="F17" s="4">
        <v>43551.0</v>
      </c>
      <c r="G17" s="7">
        <v>5.0</v>
      </c>
      <c r="H17" s="7" t="s">
        <v>25</v>
      </c>
      <c r="I17" s="2">
        <v>4.48</v>
      </c>
      <c r="J17" s="2">
        <v>0.00448</v>
      </c>
      <c r="K17" s="2">
        <v>0.0</v>
      </c>
      <c r="L17" s="11">
        <v>0.0077</v>
      </c>
      <c r="M17" s="2">
        <v>4.4799999999999995</v>
      </c>
      <c r="N17" s="2">
        <v>0.0</v>
      </c>
      <c r="O17" s="2">
        <v>7.7</v>
      </c>
      <c r="P17" s="5">
        <f>vlookup(D17,'Real lat longs for Adams County'!$A$2:$C$51,2,0)</f>
        <v>39.79606694</v>
      </c>
      <c r="Q17" s="5">
        <f>vlookup(D17,'Real lat longs for Adams County'!$A$2:$C$51,3,0)</f>
        <v>-104.9015896</v>
      </c>
      <c r="R17" s="2">
        <v>39.79606694</v>
      </c>
      <c r="S17" s="2">
        <v>-104.9015896</v>
      </c>
      <c r="T17" s="2" t="s">
        <v>41</v>
      </c>
      <c r="U17" s="10" t="s">
        <v>52</v>
      </c>
      <c r="V17" s="2" t="s">
        <v>43</v>
      </c>
    </row>
    <row r="18" ht="14.25" customHeight="1">
      <c r="A18" s="2" t="s">
        <v>22</v>
      </c>
      <c r="B18" s="2" t="s">
        <v>53</v>
      </c>
      <c r="C18" s="2">
        <v>63.0</v>
      </c>
      <c r="D18" s="3" t="s">
        <v>54</v>
      </c>
      <c r="E18" s="3" t="s">
        <v>24</v>
      </c>
      <c r="F18" s="6">
        <v>43809.0</v>
      </c>
      <c r="G18" s="7">
        <v>1.0</v>
      </c>
      <c r="H18" s="7" t="s">
        <v>25</v>
      </c>
      <c r="I18" s="2">
        <v>0.0</v>
      </c>
      <c r="J18" s="2">
        <v>0.0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12">
        <v>39.7419</v>
      </c>
      <c r="Q18" s="12">
        <v>-104.824317</v>
      </c>
      <c r="R18" s="2">
        <v>39.74716677</v>
      </c>
      <c r="S18" s="2">
        <v>-104.8190502</v>
      </c>
      <c r="T18" s="2" t="s">
        <v>26</v>
      </c>
      <c r="U18" s="2"/>
      <c r="V18" s="2" t="s">
        <v>27</v>
      </c>
    </row>
    <row r="19" ht="14.25" customHeight="1">
      <c r="A19" s="2" t="s">
        <v>22</v>
      </c>
      <c r="B19" s="2" t="s">
        <v>53</v>
      </c>
      <c r="C19" s="2">
        <v>63.0</v>
      </c>
      <c r="D19" s="3" t="s">
        <v>55</v>
      </c>
      <c r="E19" s="3" t="s">
        <v>24</v>
      </c>
      <c r="F19" s="6">
        <v>43809.0</v>
      </c>
      <c r="G19" s="7">
        <v>1.0</v>
      </c>
      <c r="H19" s="7" t="s">
        <v>25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12">
        <v>39.74291</v>
      </c>
      <c r="Q19" s="12">
        <v>-104.82294</v>
      </c>
      <c r="R19" s="2">
        <v>39.75003168</v>
      </c>
      <c r="S19" s="2">
        <v>-104.8158183</v>
      </c>
      <c r="T19" s="2" t="s">
        <v>26</v>
      </c>
      <c r="U19" s="2"/>
      <c r="V19" s="2" t="s">
        <v>27</v>
      </c>
    </row>
    <row r="20" ht="14.25" customHeight="1">
      <c r="A20" s="2" t="s">
        <v>22</v>
      </c>
      <c r="B20" s="2" t="s">
        <v>56</v>
      </c>
      <c r="C20" s="2">
        <v>63.0</v>
      </c>
      <c r="D20" s="3" t="s">
        <v>57</v>
      </c>
      <c r="E20" s="3" t="s">
        <v>24</v>
      </c>
      <c r="F20" s="6">
        <v>43809.0</v>
      </c>
      <c r="G20" s="7">
        <v>1.0</v>
      </c>
      <c r="H20" s="7" t="s">
        <v>25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12">
        <v>39.74725</v>
      </c>
      <c r="Q20" s="12">
        <v>-104.81722</v>
      </c>
      <c r="R20" s="2">
        <v>39.75578772</v>
      </c>
      <c r="S20" s="2">
        <v>-104.8086823</v>
      </c>
      <c r="T20" s="2" t="s">
        <v>26</v>
      </c>
      <c r="U20" s="2"/>
      <c r="V20" s="2" t="s">
        <v>27</v>
      </c>
    </row>
    <row r="21" ht="14.25" customHeight="1">
      <c r="A21" s="2" t="s">
        <v>22</v>
      </c>
      <c r="B21" s="2" t="s">
        <v>56</v>
      </c>
      <c r="C21" s="2">
        <v>63.0</v>
      </c>
      <c r="D21" s="3" t="s">
        <v>58</v>
      </c>
      <c r="E21" s="3" t="s">
        <v>24</v>
      </c>
      <c r="F21" s="6">
        <v>43809.0</v>
      </c>
      <c r="G21" s="7">
        <v>1.0</v>
      </c>
      <c r="H21" s="7" t="s">
        <v>25</v>
      </c>
      <c r="I21" s="2">
        <v>0.0</v>
      </c>
      <c r="J21" s="2">
        <v>0.0</v>
      </c>
      <c r="K21" s="2">
        <v>0.0</v>
      </c>
      <c r="L21" s="2">
        <v>0.0</v>
      </c>
      <c r="M21" s="2">
        <v>0.0</v>
      </c>
      <c r="N21" s="2">
        <v>0.0</v>
      </c>
      <c r="O21" s="2">
        <v>0.0</v>
      </c>
      <c r="P21" s="12">
        <v>39.74133</v>
      </c>
      <c r="Q21" s="12">
        <v>-104.81514</v>
      </c>
      <c r="R21" s="2">
        <v>39.74714818</v>
      </c>
      <c r="S21" s="2">
        <v>-104.8093218</v>
      </c>
      <c r="T21" s="2" t="s">
        <v>26</v>
      </c>
      <c r="U21" s="2"/>
      <c r="V21" s="2" t="s">
        <v>27</v>
      </c>
    </row>
    <row r="22" ht="14.25" customHeight="1">
      <c r="A22" s="2" t="s">
        <v>22</v>
      </c>
      <c r="B22" s="2" t="s">
        <v>56</v>
      </c>
      <c r="C22" s="2">
        <v>63.0</v>
      </c>
      <c r="D22" s="3" t="s">
        <v>59</v>
      </c>
      <c r="E22" s="3" t="s">
        <v>24</v>
      </c>
      <c r="F22" s="6">
        <v>43809.0</v>
      </c>
      <c r="G22" s="7">
        <v>1.0</v>
      </c>
      <c r="H22" s="7" t="s">
        <v>25</v>
      </c>
      <c r="I22" s="2">
        <v>0.0</v>
      </c>
      <c r="J22" s="2">
        <v>0.0</v>
      </c>
      <c r="K22" s="2">
        <v>0.0</v>
      </c>
      <c r="L22" s="2">
        <v>0.0</v>
      </c>
      <c r="M22" s="2">
        <v>0.0</v>
      </c>
      <c r="N22" s="2">
        <v>0.0</v>
      </c>
      <c r="O22" s="2">
        <v>0.0</v>
      </c>
      <c r="P22" s="12">
        <v>39.7471</v>
      </c>
      <c r="Q22" s="12">
        <v>-104.82106</v>
      </c>
      <c r="R22" s="2">
        <v>39.75653995</v>
      </c>
      <c r="S22" s="2">
        <v>-104.8116201</v>
      </c>
      <c r="T22" s="2" t="s">
        <v>26</v>
      </c>
      <c r="U22" s="2"/>
      <c r="V22" s="2" t="s">
        <v>27</v>
      </c>
    </row>
    <row r="23" ht="14.25" customHeight="1">
      <c r="A23" s="2" t="s">
        <v>22</v>
      </c>
      <c r="B23" s="2" t="s">
        <v>60</v>
      </c>
      <c r="C23" s="2">
        <v>43.0</v>
      </c>
      <c r="D23" s="3">
        <v>1063.0</v>
      </c>
      <c r="E23" s="3" t="s">
        <v>24</v>
      </c>
      <c r="F23" s="6">
        <v>43118.0</v>
      </c>
      <c r="G23" s="7">
        <v>1.0</v>
      </c>
      <c r="H23" s="7" t="s">
        <v>25</v>
      </c>
      <c r="I23" s="2">
        <v>7.3</v>
      </c>
      <c r="J23" s="2">
        <v>0.0053</v>
      </c>
      <c r="K23" s="2">
        <v>0.002</v>
      </c>
      <c r="L23" s="2"/>
      <c r="M23" s="2">
        <v>5.3</v>
      </c>
      <c r="N23" s="2">
        <v>2.0</v>
      </c>
      <c r="O23" s="2"/>
      <c r="P23" s="5">
        <f>vlookup(D23,'Real lat longs for Adams County'!$A$2:$C$51,2,0)</f>
        <v>39.82711856</v>
      </c>
      <c r="Q23" s="5">
        <f>vlookup(D23,'Real lat longs for Adams County'!$A$2:$C$51,3,0)</f>
        <v>-104.8336205</v>
      </c>
      <c r="R23" s="2">
        <v>39.8346129</v>
      </c>
      <c r="S23" s="2">
        <v>-104.8261262</v>
      </c>
      <c r="T23" s="2" t="s">
        <v>26</v>
      </c>
      <c r="U23" s="2"/>
      <c r="V23" s="2" t="s">
        <v>27</v>
      </c>
    </row>
    <row r="24" ht="14.25" customHeight="1">
      <c r="A24" s="2" t="s">
        <v>22</v>
      </c>
      <c r="B24" s="2" t="s">
        <v>60</v>
      </c>
      <c r="C24" s="2">
        <v>44.0</v>
      </c>
      <c r="D24" s="3">
        <v>1078.0</v>
      </c>
      <c r="E24" s="3" t="s">
        <v>24</v>
      </c>
      <c r="F24" s="6">
        <v>42991.0</v>
      </c>
      <c r="G24" s="7">
        <v>1.0</v>
      </c>
      <c r="H24" s="7" t="s">
        <v>25</v>
      </c>
      <c r="I24" s="2">
        <v>25.1</v>
      </c>
      <c r="J24" s="2">
        <v>0.0091</v>
      </c>
      <c r="K24" s="2">
        <v>0.016</v>
      </c>
      <c r="L24" s="2"/>
      <c r="M24" s="2">
        <v>9.1</v>
      </c>
      <c r="N24" s="2">
        <v>16.0</v>
      </c>
      <c r="O24" s="2"/>
      <c r="P24" s="5">
        <f>vlookup(D24,'Real lat longs for Adams County'!$A$2:$C$51,2,0)</f>
        <v>39.82539892</v>
      </c>
      <c r="Q24" s="5">
        <f>vlookup(D24,'Real lat longs for Adams County'!$A$2:$C$51,3,0)</f>
        <v>-104.8434603</v>
      </c>
      <c r="R24" s="2">
        <v>39.83128113</v>
      </c>
      <c r="S24" s="2">
        <v>-104.8375781</v>
      </c>
      <c r="T24" s="2" t="s">
        <v>26</v>
      </c>
      <c r="U24" s="2"/>
      <c r="V24" s="2" t="s">
        <v>27</v>
      </c>
    </row>
    <row r="25" ht="14.25" customHeight="1">
      <c r="A25" s="2" t="s">
        <v>22</v>
      </c>
      <c r="B25" s="2" t="s">
        <v>60</v>
      </c>
      <c r="C25" s="2">
        <v>45.0</v>
      </c>
      <c r="D25" s="3">
        <v>1525.0</v>
      </c>
      <c r="E25" s="3" t="s">
        <v>24</v>
      </c>
      <c r="F25" s="6">
        <v>42991.0</v>
      </c>
      <c r="G25" s="7">
        <v>1.0</v>
      </c>
      <c r="H25" s="7" t="s">
        <v>25</v>
      </c>
      <c r="I25" s="2">
        <v>4210.0</v>
      </c>
      <c r="J25" s="2">
        <v>0.21</v>
      </c>
      <c r="K25" s="2">
        <v>4.0</v>
      </c>
      <c r="L25" s="2"/>
      <c r="M25" s="2">
        <v>210.0</v>
      </c>
      <c r="N25" s="2">
        <v>4000.0</v>
      </c>
      <c r="O25" s="2"/>
      <c r="P25" s="5">
        <f>vlookup(D25,'Real lat longs for Adams County'!$A$2:$C$51,2,0)</f>
        <v>39.82649335</v>
      </c>
      <c r="Q25" s="5">
        <f>vlookup(D25,'Real lat longs for Adams County'!$A$2:$C$51,3,0)</f>
        <v>-104.8418512</v>
      </c>
      <c r="R25" s="2">
        <v>39.83265752</v>
      </c>
      <c r="S25" s="2">
        <v>-104.835687</v>
      </c>
      <c r="T25" s="2" t="s">
        <v>26</v>
      </c>
      <c r="U25" s="2"/>
      <c r="V25" s="2" t="s">
        <v>27</v>
      </c>
    </row>
    <row r="26" ht="14.25" customHeight="1">
      <c r="A26" s="2" t="s">
        <v>22</v>
      </c>
      <c r="B26" s="2" t="s">
        <v>60</v>
      </c>
      <c r="C26" s="2">
        <v>46.0</v>
      </c>
      <c r="D26" s="3">
        <v>2505.0</v>
      </c>
      <c r="E26" s="3" t="s">
        <v>24</v>
      </c>
      <c r="F26" s="6">
        <v>42990.0</v>
      </c>
      <c r="G26" s="7">
        <v>1.0</v>
      </c>
      <c r="H26" s="7" t="s">
        <v>25</v>
      </c>
      <c r="I26" s="2">
        <v>3.7</v>
      </c>
      <c r="J26" s="2">
        <v>0.0024</v>
      </c>
      <c r="K26" s="2">
        <v>0.0013</v>
      </c>
      <c r="L26" s="2"/>
      <c r="M26" s="2">
        <v>2.4</v>
      </c>
      <c r="N26" s="2">
        <v>1.3</v>
      </c>
      <c r="O26" s="2"/>
      <c r="P26" s="5">
        <f>vlookup(D26,'Real lat longs for Adams County'!$A$2:$C$51,2,0)</f>
        <v>39.81627348</v>
      </c>
      <c r="Q26" s="5">
        <f>vlookup(D26,'Real lat longs for Adams County'!$A$2:$C$51,3,0)</f>
        <v>-104.8512159</v>
      </c>
      <c r="R26" s="2">
        <v>39.82512799</v>
      </c>
      <c r="S26" s="2">
        <v>-104.8423614</v>
      </c>
      <c r="T26" s="2" t="s">
        <v>26</v>
      </c>
      <c r="U26" s="2"/>
      <c r="V26" s="2" t="s">
        <v>27</v>
      </c>
    </row>
    <row r="27" ht="14.25" customHeight="1">
      <c r="A27" s="2" t="s">
        <v>22</v>
      </c>
      <c r="B27" s="2" t="s">
        <v>60</v>
      </c>
      <c r="C27" s="2">
        <v>47.0</v>
      </c>
      <c r="D27" s="3">
        <v>3503.0</v>
      </c>
      <c r="E27" s="3" t="s">
        <v>24</v>
      </c>
      <c r="F27" s="6">
        <v>43068.0</v>
      </c>
      <c r="G27" s="7">
        <v>1.0</v>
      </c>
      <c r="H27" s="7" t="s">
        <v>25</v>
      </c>
      <c r="I27" s="2">
        <v>10.6</v>
      </c>
      <c r="J27" s="2">
        <v>0.007</v>
      </c>
      <c r="K27" s="2">
        <v>0.0036</v>
      </c>
      <c r="L27" s="2">
        <v>0.0</v>
      </c>
      <c r="M27" s="2">
        <v>7.0</v>
      </c>
      <c r="N27" s="2">
        <v>3.6</v>
      </c>
      <c r="O27" s="2">
        <v>0.0</v>
      </c>
      <c r="P27" s="5">
        <f>vlookup(D27,'Real lat longs for Adams County'!$A$2:$C$51,2,0)</f>
        <v>39.825773</v>
      </c>
      <c r="Q27" s="5">
        <f>vlookup(D27,'Real lat longs for Adams County'!$A$2:$C$51,3,0)</f>
        <v>-104.897113</v>
      </c>
      <c r="R27" s="2">
        <v>39.82665128</v>
      </c>
      <c r="S27" s="2">
        <v>-104.8741778</v>
      </c>
      <c r="T27" s="2" t="s">
        <v>26</v>
      </c>
      <c r="U27" s="2"/>
      <c r="V27" s="2" t="s">
        <v>27</v>
      </c>
    </row>
    <row r="28" ht="14.25" customHeight="1">
      <c r="A28" s="2" t="s">
        <v>22</v>
      </c>
      <c r="B28" s="2" t="s">
        <v>60</v>
      </c>
      <c r="C28" s="2">
        <v>48.0</v>
      </c>
      <c r="D28" s="3">
        <v>4303.0</v>
      </c>
      <c r="E28" s="3" t="s">
        <v>24</v>
      </c>
      <c r="F28" s="6">
        <v>43124.0</v>
      </c>
      <c r="G28" s="7">
        <v>1.0</v>
      </c>
      <c r="H28" s="7" t="s">
        <v>25</v>
      </c>
      <c r="I28" s="2">
        <v>7.5</v>
      </c>
      <c r="J28" s="2">
        <v>0.0044</v>
      </c>
      <c r="K28" s="2">
        <v>0.0031</v>
      </c>
      <c r="L28" s="2"/>
      <c r="M28" s="2">
        <v>4.4</v>
      </c>
      <c r="N28" s="2">
        <v>3.1</v>
      </c>
      <c r="O28" s="2"/>
      <c r="P28" s="5">
        <f>vlookup(D28,'Real lat longs for Adams County'!$A$2:$C$51,2,0)</f>
        <v>39.82587232</v>
      </c>
      <c r="Q28" s="5">
        <f>vlookup(D28,'Real lat longs for Adams County'!$A$2:$C$51,3,0)</f>
        <v>-104.8973349</v>
      </c>
      <c r="R28" s="2">
        <v>39.83211469</v>
      </c>
      <c r="S28" s="2">
        <v>-104.8910925</v>
      </c>
      <c r="T28" s="2" t="s">
        <v>26</v>
      </c>
      <c r="U28" s="2"/>
      <c r="V28" s="2" t="s">
        <v>27</v>
      </c>
    </row>
    <row r="29" ht="14.25" customHeight="1">
      <c r="A29" s="2" t="s">
        <v>22</v>
      </c>
      <c r="B29" s="2" t="s">
        <v>60</v>
      </c>
      <c r="C29" s="2">
        <v>49.0</v>
      </c>
      <c r="D29" s="3">
        <v>22008.0</v>
      </c>
      <c r="E29" s="3" t="s">
        <v>24</v>
      </c>
      <c r="F29" s="6">
        <v>43145.0</v>
      </c>
      <c r="G29" s="7">
        <v>1.0</v>
      </c>
      <c r="H29" s="7" t="s">
        <v>25</v>
      </c>
      <c r="I29" s="2">
        <v>6.0</v>
      </c>
      <c r="J29" s="2">
        <v>0.0023</v>
      </c>
      <c r="K29" s="2">
        <v>0.0037</v>
      </c>
      <c r="L29" s="2"/>
      <c r="M29" s="2">
        <v>2.3</v>
      </c>
      <c r="N29" s="2">
        <v>3.7</v>
      </c>
      <c r="O29" s="2"/>
      <c r="P29" s="5">
        <f>vlookup(D29,'Real lat longs for Adams County'!$A$2:$C$51,2,0)</f>
        <v>39.85656863</v>
      </c>
      <c r="Q29" s="5">
        <f>vlookup(D29,'Real lat longs for Adams County'!$A$2:$C$51,3,0)</f>
        <v>-104.8748375</v>
      </c>
      <c r="R29" s="2">
        <v>39.86442701</v>
      </c>
      <c r="S29" s="2">
        <v>-104.8669791</v>
      </c>
      <c r="T29" s="2" t="s">
        <v>26</v>
      </c>
      <c r="U29" s="2"/>
      <c r="V29" s="2" t="s">
        <v>27</v>
      </c>
    </row>
    <row r="30" ht="14.25" customHeight="1">
      <c r="A30" s="2" t="s">
        <v>22</v>
      </c>
      <c r="B30" s="2" t="s">
        <v>60</v>
      </c>
      <c r="C30" s="2">
        <v>50.0</v>
      </c>
      <c r="D30" s="3">
        <v>22505.0</v>
      </c>
      <c r="E30" s="3" t="s">
        <v>24</v>
      </c>
      <c r="F30" s="6">
        <v>43179.0</v>
      </c>
      <c r="G30" s="7">
        <v>1.0</v>
      </c>
      <c r="H30" s="7" t="s">
        <v>25</v>
      </c>
      <c r="I30" s="2">
        <v>77.0</v>
      </c>
      <c r="J30" s="2">
        <v>0.04</v>
      </c>
      <c r="K30" s="2">
        <v>0.037</v>
      </c>
      <c r="L30" s="2"/>
      <c r="M30" s="2">
        <v>40.0</v>
      </c>
      <c r="N30" s="2">
        <v>37.0</v>
      </c>
      <c r="O30" s="2"/>
      <c r="P30" s="5">
        <f>vlookup(D30,'Real lat longs for Adams County'!$A$2:$C$51,2,0)</f>
        <v>39.86179292</v>
      </c>
      <c r="Q30" s="5">
        <f>vlookup(D30,'Real lat longs for Adams County'!$A$2:$C$51,3,0)</f>
        <v>-104.8707929</v>
      </c>
      <c r="R30" s="2">
        <v>39.86686174</v>
      </c>
      <c r="S30" s="2">
        <v>-104.8657241</v>
      </c>
      <c r="T30" s="2" t="s">
        <v>26</v>
      </c>
      <c r="U30" s="2"/>
      <c r="V30" s="2" t="s">
        <v>27</v>
      </c>
    </row>
    <row r="31" ht="14.25" customHeight="1">
      <c r="A31" s="2" t="s">
        <v>22</v>
      </c>
      <c r="B31" s="2" t="s">
        <v>60</v>
      </c>
      <c r="C31" s="2">
        <v>51.0</v>
      </c>
      <c r="D31" s="3">
        <v>24201.0</v>
      </c>
      <c r="E31" s="3" t="s">
        <v>24</v>
      </c>
      <c r="F31" s="6">
        <v>43129.0</v>
      </c>
      <c r="G31" s="7">
        <v>1.0</v>
      </c>
      <c r="H31" s="7" t="s">
        <v>25</v>
      </c>
      <c r="I31" s="2">
        <v>4.0</v>
      </c>
      <c r="J31" s="2">
        <v>0.002</v>
      </c>
      <c r="K31" s="2">
        <v>0.002</v>
      </c>
      <c r="L31" s="2"/>
      <c r="M31" s="2">
        <v>2.0</v>
      </c>
      <c r="N31" s="2">
        <v>2.0</v>
      </c>
      <c r="O31" s="2"/>
      <c r="P31" s="5">
        <f>vlookup(D31,'Real lat longs for Adams County'!$A$2:$C$51,2,0)</f>
        <v>39.86466289</v>
      </c>
      <c r="Q31" s="5">
        <f>vlookup(D31,'Real lat longs for Adams County'!$A$2:$C$51,3,0)</f>
        <v>-104.8449177</v>
      </c>
      <c r="R31" s="2">
        <v>39.87186755</v>
      </c>
      <c r="S31" s="2">
        <v>-104.837713</v>
      </c>
      <c r="T31" s="2" t="s">
        <v>26</v>
      </c>
      <c r="U31" s="2"/>
      <c r="V31" s="2" t="s">
        <v>27</v>
      </c>
    </row>
    <row r="32" ht="14.25" customHeight="1">
      <c r="A32" s="2" t="s">
        <v>22</v>
      </c>
      <c r="B32" s="2" t="s">
        <v>60</v>
      </c>
      <c r="C32" s="2">
        <v>52.0</v>
      </c>
      <c r="D32" s="3">
        <v>25054.0</v>
      </c>
      <c r="E32" s="3" t="s">
        <v>24</v>
      </c>
      <c r="F32" s="6">
        <v>43129.0</v>
      </c>
      <c r="G32" s="7">
        <v>1.0</v>
      </c>
      <c r="H32" s="7" t="s">
        <v>25</v>
      </c>
      <c r="I32" s="2">
        <v>4.0</v>
      </c>
      <c r="J32" s="2">
        <v>0.002</v>
      </c>
      <c r="K32" s="2">
        <v>0.002</v>
      </c>
      <c r="L32" s="2"/>
      <c r="M32" s="2">
        <v>2.0</v>
      </c>
      <c r="N32" s="2">
        <v>2.0</v>
      </c>
      <c r="O32" s="2"/>
      <c r="P32" s="5">
        <f>vlookup(D32,'Real lat longs for Adams County'!$A$2:$C$51,2,0)</f>
        <v>39.85156914</v>
      </c>
      <c r="Q32" s="5">
        <f>vlookup(D32,'Real lat longs for Adams County'!$A$2:$C$51,3,0)</f>
        <v>-104.8360855</v>
      </c>
      <c r="R32" s="2">
        <v>39.85808234</v>
      </c>
      <c r="S32" s="2">
        <v>-104.8295723</v>
      </c>
      <c r="T32" s="2" t="s">
        <v>26</v>
      </c>
      <c r="U32" s="2"/>
      <c r="V32" s="2" t="s">
        <v>27</v>
      </c>
    </row>
    <row r="33" ht="14.25" customHeight="1">
      <c r="A33" s="2" t="s">
        <v>22</v>
      </c>
      <c r="B33" s="2" t="s">
        <v>60</v>
      </c>
      <c r="C33" s="2">
        <v>53.0</v>
      </c>
      <c r="D33" s="3">
        <v>26017.0</v>
      </c>
      <c r="E33" s="3" t="s">
        <v>24</v>
      </c>
      <c r="F33" s="6">
        <v>43131.0</v>
      </c>
      <c r="G33" s="7">
        <v>1.0</v>
      </c>
      <c r="H33" s="7" t="s">
        <v>25</v>
      </c>
      <c r="I33" s="2">
        <v>4.0</v>
      </c>
      <c r="J33" s="2">
        <v>0.002</v>
      </c>
      <c r="K33" s="2">
        <v>0.002</v>
      </c>
      <c r="L33" s="2"/>
      <c r="M33" s="2">
        <v>2.0</v>
      </c>
      <c r="N33" s="2">
        <v>2.0</v>
      </c>
      <c r="O33" s="2"/>
      <c r="P33" s="5">
        <f>vlookup(D33,'Real lat longs for Adams County'!$A$2:$C$51,2,0)</f>
        <v>39.85448592</v>
      </c>
      <c r="Q33" s="5">
        <f>vlookup(D33,'Real lat longs for Adams County'!$A$2:$C$51,3,0)</f>
        <v>-104.8605343</v>
      </c>
      <c r="R33" s="2">
        <v>39.86387961</v>
      </c>
      <c r="S33" s="2">
        <v>-104.8511406</v>
      </c>
      <c r="T33" s="2" t="s">
        <v>26</v>
      </c>
      <c r="U33" s="2"/>
      <c r="V33" s="2" t="s">
        <v>27</v>
      </c>
    </row>
    <row r="34" ht="14.25" customHeight="1">
      <c r="A34" s="2" t="s">
        <v>22</v>
      </c>
      <c r="B34" s="2" t="s">
        <v>60</v>
      </c>
      <c r="C34" s="2">
        <v>54.0</v>
      </c>
      <c r="D34" s="3">
        <v>26157.0</v>
      </c>
      <c r="E34" s="3" t="s">
        <v>24</v>
      </c>
      <c r="F34" s="6">
        <v>43130.0</v>
      </c>
      <c r="G34" s="7">
        <v>1.0</v>
      </c>
      <c r="H34" s="7" t="s">
        <v>25</v>
      </c>
      <c r="I34" s="2">
        <v>4.2</v>
      </c>
      <c r="J34" s="2">
        <v>0.002</v>
      </c>
      <c r="K34" s="2">
        <v>0.0022</v>
      </c>
      <c r="L34" s="2"/>
      <c r="M34" s="2">
        <v>2.0</v>
      </c>
      <c r="N34" s="2">
        <v>2.2</v>
      </c>
      <c r="O34" s="2"/>
      <c r="P34" s="5">
        <f>vlookup(D34,'Real lat longs for Adams County'!$A$2:$C$51,2,0)</f>
        <v>39.85570635</v>
      </c>
      <c r="Q34" s="5">
        <f>vlookup(D34,'Real lat longs for Adams County'!$A$2:$C$51,3,0)</f>
        <v>-104.8524587</v>
      </c>
      <c r="R34" s="2">
        <v>39.86521179</v>
      </c>
      <c r="S34" s="2">
        <v>-104.8429533</v>
      </c>
      <c r="T34" s="2" t="s">
        <v>26</v>
      </c>
      <c r="U34" s="2"/>
      <c r="V34" s="2" t="s">
        <v>27</v>
      </c>
    </row>
    <row r="35" ht="14.25" customHeight="1">
      <c r="A35" s="2" t="s">
        <v>22</v>
      </c>
      <c r="B35" s="2" t="s">
        <v>60</v>
      </c>
      <c r="C35" s="2">
        <v>55.0</v>
      </c>
      <c r="D35" s="3">
        <v>27517.0</v>
      </c>
      <c r="E35" s="3" t="s">
        <v>24</v>
      </c>
      <c r="F35" s="6">
        <v>43180.0</v>
      </c>
      <c r="G35" s="7">
        <v>1.0</v>
      </c>
      <c r="H35" s="7" t="s">
        <v>25</v>
      </c>
      <c r="I35" s="2">
        <v>8.8</v>
      </c>
      <c r="J35" s="2">
        <v>0.0032</v>
      </c>
      <c r="K35" s="2">
        <v>0.0056</v>
      </c>
      <c r="L35" s="2"/>
      <c r="M35" s="2">
        <v>3.2</v>
      </c>
      <c r="N35" s="2">
        <v>5.6</v>
      </c>
      <c r="O35" s="2"/>
      <c r="P35" s="5">
        <f>vlookup(D35,'Real lat longs for Adams County'!$A$2:$C$51,2,0)</f>
        <v>39.84969916</v>
      </c>
      <c r="Q35" s="5">
        <f>vlookup(D35,'Real lat longs for Adams County'!$A$2:$C$51,3,0)</f>
        <v>-104.8828535</v>
      </c>
      <c r="R35" s="2">
        <v>39.8560244</v>
      </c>
      <c r="S35" s="2">
        <v>-104.8765283</v>
      </c>
      <c r="T35" s="2" t="s">
        <v>26</v>
      </c>
      <c r="U35" s="2"/>
      <c r="V35" s="2" t="s">
        <v>27</v>
      </c>
    </row>
    <row r="36" ht="14.25" customHeight="1">
      <c r="A36" s="2" t="s">
        <v>22</v>
      </c>
      <c r="B36" s="2" t="s">
        <v>60</v>
      </c>
      <c r="C36" s="2">
        <v>56.0</v>
      </c>
      <c r="D36" s="3">
        <v>35065.0</v>
      </c>
      <c r="E36" s="3" t="s">
        <v>24</v>
      </c>
      <c r="F36" s="6">
        <v>42984.0</v>
      </c>
      <c r="G36" s="7">
        <v>1.0</v>
      </c>
      <c r="H36" s="7" t="s">
        <v>25</v>
      </c>
      <c r="I36" s="2">
        <v>10.5</v>
      </c>
      <c r="J36" s="2">
        <v>0.0085</v>
      </c>
      <c r="K36" s="2">
        <v>0.002</v>
      </c>
      <c r="L36" s="2"/>
      <c r="M36" s="2">
        <v>8.5</v>
      </c>
      <c r="N36" s="2">
        <v>2.0</v>
      </c>
      <c r="O36" s="2"/>
      <c r="P36" s="5">
        <f>vlookup(D36,'Real lat longs for Adams County'!$A$2:$C$51,2,0)</f>
        <v>39.83894013</v>
      </c>
      <c r="Q36" s="5">
        <f>vlookup(D36,'Real lat longs for Adams County'!$A$2:$C$51,3,0)</f>
        <v>-104.8470409</v>
      </c>
      <c r="R36" s="2">
        <v>39.84794816</v>
      </c>
      <c r="S36" s="2">
        <v>-104.8380329</v>
      </c>
      <c r="T36" s="2" t="s">
        <v>26</v>
      </c>
      <c r="U36" s="2"/>
      <c r="V36" s="2" t="s">
        <v>27</v>
      </c>
    </row>
    <row r="37" ht="14.25" customHeight="1">
      <c r="A37" s="2" t="s">
        <v>22</v>
      </c>
      <c r="B37" s="2" t="s">
        <v>60</v>
      </c>
      <c r="C37" s="2">
        <v>57.0</v>
      </c>
      <c r="D37" s="3">
        <v>35514.0</v>
      </c>
      <c r="E37" s="3" t="s">
        <v>24</v>
      </c>
      <c r="F37" s="6">
        <v>42975.0</v>
      </c>
      <c r="G37" s="7">
        <v>1.0</v>
      </c>
      <c r="H37" s="7" t="s">
        <v>25</v>
      </c>
      <c r="I37" s="2">
        <v>16.3</v>
      </c>
      <c r="J37" s="2">
        <v>0.0023</v>
      </c>
      <c r="K37" s="2">
        <v>0.014</v>
      </c>
      <c r="L37" s="2"/>
      <c r="M37" s="2">
        <v>2.3</v>
      </c>
      <c r="N37" s="2">
        <v>14.0</v>
      </c>
      <c r="O37" s="2"/>
      <c r="P37" s="5">
        <f>vlookup(D37,'Real lat longs for Adams County'!$A$2:$C$51,2,0)</f>
        <v>39.84097463</v>
      </c>
      <c r="Q37" s="5">
        <f>vlookup(D37,'Real lat longs for Adams County'!$A$2:$C$51,3,0)</f>
        <v>-104.8514444</v>
      </c>
      <c r="R37" s="2">
        <v>39.84697258</v>
      </c>
      <c r="S37" s="2">
        <v>-104.8454465</v>
      </c>
      <c r="T37" s="2" t="s">
        <v>26</v>
      </c>
      <c r="U37" s="2"/>
      <c r="V37" s="2" t="s">
        <v>27</v>
      </c>
    </row>
    <row r="38" ht="14.25" customHeight="1">
      <c r="A38" s="2" t="s">
        <v>22</v>
      </c>
      <c r="B38" s="2" t="s">
        <v>60</v>
      </c>
      <c r="C38" s="2">
        <v>58.0</v>
      </c>
      <c r="D38" s="3">
        <v>36201.0</v>
      </c>
      <c r="E38" s="3" t="s">
        <v>24</v>
      </c>
      <c r="F38" s="6">
        <v>43132.0</v>
      </c>
      <c r="G38" s="7">
        <v>1.0</v>
      </c>
      <c r="H38" s="7" t="s">
        <v>25</v>
      </c>
      <c r="I38" s="2">
        <v>17.1</v>
      </c>
      <c r="J38" s="2">
        <v>0.013</v>
      </c>
      <c r="K38" s="2">
        <v>0.0041</v>
      </c>
      <c r="L38" s="2"/>
      <c r="M38" s="2">
        <v>13.0</v>
      </c>
      <c r="N38" s="2">
        <v>4.1000000000000005</v>
      </c>
      <c r="O38" s="2"/>
      <c r="P38" s="5">
        <f>vlookup(D38,'Real lat longs for Adams County'!$A$2:$C$51,2,0)</f>
        <v>39.83805035</v>
      </c>
      <c r="Q38" s="5">
        <f>vlookup(D38,'Real lat longs for Adams County'!$A$2:$C$51,3,0)</f>
        <v>-104.8331151</v>
      </c>
      <c r="R38" s="2">
        <v>39.84581272</v>
      </c>
      <c r="S38" s="2">
        <v>-104.8253527</v>
      </c>
      <c r="T38" s="2" t="s">
        <v>26</v>
      </c>
      <c r="U38" s="2"/>
      <c r="V38" s="2" t="s">
        <v>27</v>
      </c>
    </row>
    <row r="39" ht="14.25" customHeight="1">
      <c r="A39" s="2" t="s">
        <v>22</v>
      </c>
      <c r="B39" s="2" t="s">
        <v>60</v>
      </c>
      <c r="C39" s="2">
        <v>59.0</v>
      </c>
      <c r="D39" s="3">
        <v>36305.0</v>
      </c>
      <c r="E39" s="3" t="s">
        <v>24</v>
      </c>
      <c r="F39" s="6">
        <v>42956.0</v>
      </c>
      <c r="G39" s="7">
        <v>1.0</v>
      </c>
      <c r="H39" s="7" t="s">
        <v>25</v>
      </c>
      <c r="I39" s="2">
        <v>57.2</v>
      </c>
      <c r="J39" s="2">
        <v>0.053</v>
      </c>
      <c r="K39" s="2">
        <v>0.0042</v>
      </c>
      <c r="L39" s="2"/>
      <c r="M39" s="2">
        <v>53.0</v>
      </c>
      <c r="N39" s="2">
        <v>4.2</v>
      </c>
      <c r="O39" s="2"/>
      <c r="P39" s="5">
        <f>vlookup(D39,'Real lat longs for Adams County'!$A$2:$C$51,2,0)</f>
        <v>39.83364559</v>
      </c>
      <c r="Q39" s="5">
        <f>vlookup(D39,'Real lat longs for Adams County'!$A$2:$C$51,3,0)</f>
        <v>-104.8371782</v>
      </c>
      <c r="R39" s="2">
        <v>39.84287224</v>
      </c>
      <c r="S39" s="2">
        <v>-104.8279515</v>
      </c>
      <c r="T39" s="2" t="s">
        <v>26</v>
      </c>
      <c r="U39" s="2"/>
      <c r="V39" s="2" t="s">
        <v>27</v>
      </c>
    </row>
    <row r="40" ht="14.25" customHeight="1">
      <c r="A40" s="2" t="s">
        <v>22</v>
      </c>
      <c r="B40" s="2" t="s">
        <v>60</v>
      </c>
      <c r="C40" s="2">
        <v>60.0</v>
      </c>
      <c r="D40" s="3">
        <v>36594.0</v>
      </c>
      <c r="E40" s="3" t="s">
        <v>24</v>
      </c>
      <c r="F40" s="6">
        <v>42984.0</v>
      </c>
      <c r="G40" s="7">
        <v>1.0</v>
      </c>
      <c r="H40" s="7" t="s">
        <v>25</v>
      </c>
      <c r="I40" s="2">
        <v>4.0</v>
      </c>
      <c r="J40" s="2">
        <v>0.002</v>
      </c>
      <c r="K40" s="2">
        <v>0.002</v>
      </c>
      <c r="L40" s="2"/>
      <c r="M40" s="2">
        <v>2.0</v>
      </c>
      <c r="N40" s="2">
        <v>2.0</v>
      </c>
      <c r="O40" s="2"/>
      <c r="P40" s="5">
        <f>vlookup(D40,'Real lat longs for Adams County'!$A$2:$C$51,2,0)</f>
        <v>39.83873275</v>
      </c>
      <c r="Q40" s="5">
        <f>vlookup(D40,'Real lat longs for Adams County'!$A$2:$C$51,3,0)</f>
        <v>-104.8310181</v>
      </c>
      <c r="R40" s="2">
        <v>39.84634605</v>
      </c>
      <c r="S40" s="2">
        <v>-104.8234048</v>
      </c>
      <c r="T40" s="2" t="s">
        <v>26</v>
      </c>
      <c r="U40" s="2"/>
      <c r="V40" s="2" t="s">
        <v>27</v>
      </c>
    </row>
    <row r="41" ht="14.25" customHeight="1">
      <c r="A41" s="2" t="s">
        <v>22</v>
      </c>
      <c r="B41" s="2" t="s">
        <v>60</v>
      </c>
      <c r="C41" s="2">
        <v>61.0</v>
      </c>
      <c r="D41" s="3">
        <v>37065.0</v>
      </c>
      <c r="E41" s="3" t="s">
        <v>24</v>
      </c>
      <c r="F41" s="6">
        <v>43186.0</v>
      </c>
      <c r="G41" s="7">
        <v>1.0</v>
      </c>
      <c r="H41" s="7" t="s">
        <v>25</v>
      </c>
      <c r="I41" s="2">
        <v>4.0</v>
      </c>
      <c r="J41" s="2">
        <v>0.002</v>
      </c>
      <c r="K41" s="2">
        <v>0.002</v>
      </c>
      <c r="L41" s="2"/>
      <c r="M41" s="2">
        <v>2.0</v>
      </c>
      <c r="N41" s="2">
        <v>2.0</v>
      </c>
      <c r="O41" s="2"/>
      <c r="P41" s="5">
        <f>vlookup(D41,'Real lat longs for Adams County'!$A$2:$C$51,2,0)</f>
        <v>39.8765424</v>
      </c>
      <c r="Q41" s="5">
        <f>vlookup(D41,'Real lat longs for Adams County'!$A$2:$C$51,3,0)</f>
        <v>-104.8532446</v>
      </c>
      <c r="R41" s="2">
        <v>39.88186734</v>
      </c>
      <c r="S41" s="2">
        <v>-104.8479197</v>
      </c>
      <c r="T41" s="2" t="s">
        <v>26</v>
      </c>
      <c r="U41" s="2"/>
      <c r="V41" s="2" t="s">
        <v>27</v>
      </c>
    </row>
    <row r="42" ht="14.25" customHeight="1">
      <c r="A42" s="2" t="s">
        <v>22</v>
      </c>
      <c r="B42" s="2" t="s">
        <v>60</v>
      </c>
      <c r="C42" s="2">
        <v>62.0</v>
      </c>
      <c r="D42" s="3">
        <v>37095.0</v>
      </c>
      <c r="E42" s="3" t="s">
        <v>24</v>
      </c>
      <c r="F42" s="6">
        <v>43187.0</v>
      </c>
      <c r="G42" s="7">
        <v>1.0</v>
      </c>
      <c r="H42" s="7" t="s">
        <v>25</v>
      </c>
      <c r="I42" s="2">
        <v>4.0</v>
      </c>
      <c r="J42" s="2">
        <v>0.002</v>
      </c>
      <c r="K42" s="2">
        <v>0.002</v>
      </c>
      <c r="L42" s="2"/>
      <c r="M42" s="2">
        <v>2.0</v>
      </c>
      <c r="N42" s="2">
        <v>2.0</v>
      </c>
      <c r="O42" s="2"/>
      <c r="P42" s="5">
        <f>vlookup(D42,'Real lat longs for Adams County'!$A$2:$C$51,2,0)</f>
        <v>39.8879268</v>
      </c>
      <c r="Q42" s="5">
        <f>vlookup(D42,'Real lat longs for Adams County'!$A$2:$C$51,3,0)</f>
        <v>-104.8444202</v>
      </c>
      <c r="R42" s="2">
        <v>39.89742542</v>
      </c>
      <c r="S42" s="2">
        <v>-104.8349216</v>
      </c>
      <c r="T42" s="2" t="s">
        <v>26</v>
      </c>
      <c r="U42" s="2"/>
      <c r="V42" s="2" t="s">
        <v>27</v>
      </c>
    </row>
    <row r="43" ht="14.25" customHeight="1">
      <c r="A43" s="2" t="s">
        <v>22</v>
      </c>
      <c r="B43" s="2" t="s">
        <v>60</v>
      </c>
      <c r="C43" s="2">
        <v>63.0</v>
      </c>
      <c r="D43" s="3">
        <v>37395.0</v>
      </c>
      <c r="E43" s="3" t="s">
        <v>24</v>
      </c>
      <c r="F43" s="6">
        <v>43187.0</v>
      </c>
      <c r="G43" s="7">
        <v>1.0</v>
      </c>
      <c r="H43" s="7" t="s">
        <v>25</v>
      </c>
      <c r="I43" s="2">
        <v>4.0</v>
      </c>
      <c r="J43" s="2">
        <v>0.002</v>
      </c>
      <c r="K43" s="2">
        <v>0.002</v>
      </c>
      <c r="L43" s="2"/>
      <c r="M43" s="2">
        <v>2.0</v>
      </c>
      <c r="N43" s="2">
        <v>2.0</v>
      </c>
      <c r="O43" s="2"/>
      <c r="P43" s="5">
        <f>vlookup(D43,'Real lat longs for Adams County'!$A$2:$C$51,2,0)</f>
        <v>39.89027898</v>
      </c>
      <c r="Q43" s="5">
        <f>vlookup(D43,'Real lat longs for Adams County'!$A$2:$C$51,3,0)</f>
        <v>-104.8419137</v>
      </c>
      <c r="R43" s="2">
        <v>39.89826128</v>
      </c>
      <c r="S43" s="2">
        <v>-104.8339314</v>
      </c>
      <c r="T43" s="2" t="s">
        <v>26</v>
      </c>
      <c r="U43" s="2"/>
      <c r="V43" s="2" t="s">
        <v>27</v>
      </c>
    </row>
    <row r="44" ht="14.25" customHeight="1">
      <c r="D44" s="13"/>
      <c r="E44" s="13"/>
      <c r="F44" s="14"/>
      <c r="P44" s="5"/>
      <c r="Q44" s="5"/>
    </row>
    <row r="45" ht="14.25" customHeight="1">
      <c r="D45" s="13"/>
      <c r="E45" s="13"/>
      <c r="F45" s="14"/>
      <c r="P45" s="5"/>
      <c r="Q45" s="5"/>
    </row>
    <row r="46" ht="14.25" customHeight="1">
      <c r="D46" s="13"/>
      <c r="E46" s="13"/>
      <c r="F46" s="14"/>
      <c r="P46" s="5"/>
      <c r="Q46" s="5"/>
    </row>
    <row r="47" ht="14.25" customHeight="1">
      <c r="D47" s="13"/>
      <c r="E47" s="13"/>
      <c r="F47" s="14"/>
      <c r="P47" s="5"/>
      <c r="Q47" s="5"/>
    </row>
    <row r="48" ht="14.25" customHeight="1">
      <c r="D48" s="13"/>
      <c r="E48" s="13"/>
      <c r="F48" s="14"/>
      <c r="P48" s="5"/>
      <c r="Q48" s="5"/>
    </row>
    <row r="49" ht="14.25" customHeight="1">
      <c r="D49" s="13"/>
      <c r="E49" s="13"/>
      <c r="F49" s="14"/>
      <c r="P49" s="5"/>
      <c r="Q49" s="5"/>
    </row>
    <row r="50" ht="14.25" customHeight="1">
      <c r="D50" s="13"/>
      <c r="E50" s="13"/>
      <c r="F50" s="14"/>
      <c r="P50" s="5"/>
      <c r="Q50" s="5"/>
    </row>
    <row r="51" ht="14.25" customHeight="1">
      <c r="D51" s="13"/>
      <c r="E51" s="13"/>
      <c r="F51" s="14"/>
      <c r="P51" s="5"/>
      <c r="Q51" s="5"/>
    </row>
    <row r="52" ht="14.25" customHeight="1">
      <c r="D52" s="13"/>
      <c r="E52" s="13"/>
      <c r="F52" s="14"/>
      <c r="P52" s="5"/>
      <c r="Q52" s="5"/>
    </row>
    <row r="53" ht="14.25" customHeight="1">
      <c r="D53" s="13"/>
      <c r="E53" s="13"/>
      <c r="F53" s="14"/>
      <c r="P53" s="5"/>
      <c r="Q53" s="5"/>
    </row>
    <row r="54" ht="14.25" customHeight="1">
      <c r="D54" s="13"/>
      <c r="E54" s="13"/>
      <c r="F54" s="14"/>
      <c r="P54" s="5"/>
      <c r="Q54" s="5"/>
    </row>
    <row r="55" ht="14.25" customHeight="1">
      <c r="D55" s="13"/>
      <c r="E55" s="13"/>
      <c r="F55" s="14"/>
      <c r="P55" s="5"/>
      <c r="Q55" s="5"/>
    </row>
    <row r="56" ht="14.25" customHeight="1">
      <c r="D56" s="13"/>
      <c r="E56" s="13"/>
      <c r="F56" s="14"/>
      <c r="P56" s="5"/>
      <c r="Q56" s="5"/>
    </row>
    <row r="57" ht="14.25" customHeight="1">
      <c r="D57" s="13"/>
      <c r="E57" s="13"/>
      <c r="F57" s="14"/>
      <c r="P57" s="5"/>
      <c r="Q57" s="5"/>
    </row>
    <row r="58" ht="14.25" customHeight="1">
      <c r="D58" s="13"/>
      <c r="E58" s="13"/>
      <c r="F58" s="14"/>
      <c r="P58" s="5"/>
      <c r="Q58" s="5"/>
    </row>
    <row r="59" ht="14.25" customHeight="1">
      <c r="D59" s="13"/>
      <c r="E59" s="13"/>
      <c r="F59" s="14"/>
      <c r="P59" s="5"/>
      <c r="Q59" s="5"/>
    </row>
    <row r="60" ht="14.25" customHeight="1">
      <c r="D60" s="13"/>
      <c r="E60" s="13"/>
      <c r="F60" s="14"/>
      <c r="P60" s="5"/>
      <c r="Q60" s="5"/>
    </row>
    <row r="61" ht="14.25" customHeight="1">
      <c r="D61" s="13"/>
      <c r="E61" s="13"/>
      <c r="F61" s="14"/>
      <c r="P61" s="5"/>
      <c r="Q61" s="5"/>
    </row>
    <row r="62" ht="14.25" customHeight="1">
      <c r="D62" s="13"/>
      <c r="E62" s="13"/>
      <c r="F62" s="14"/>
      <c r="P62" s="5"/>
      <c r="Q62" s="5"/>
    </row>
    <row r="63" ht="14.25" customHeight="1">
      <c r="D63" s="13"/>
      <c r="E63" s="13"/>
      <c r="F63" s="14"/>
      <c r="P63" s="5"/>
      <c r="Q63" s="5"/>
    </row>
    <row r="64" ht="14.25" customHeight="1">
      <c r="D64" s="13"/>
      <c r="E64" s="13"/>
      <c r="F64" s="14"/>
      <c r="P64" s="5"/>
      <c r="Q64" s="5"/>
    </row>
    <row r="65" ht="14.25" customHeight="1">
      <c r="D65" s="13"/>
      <c r="E65" s="13"/>
      <c r="F65" s="14"/>
      <c r="P65" s="5"/>
      <c r="Q65" s="5"/>
    </row>
    <row r="66" ht="14.25" customHeight="1">
      <c r="D66" s="13"/>
      <c r="E66" s="13"/>
      <c r="F66" s="14"/>
      <c r="P66" s="5"/>
      <c r="Q66" s="5"/>
    </row>
    <row r="67" ht="14.25" customHeight="1">
      <c r="D67" s="13"/>
      <c r="E67" s="13"/>
      <c r="F67" s="14"/>
      <c r="P67" s="5"/>
      <c r="Q67" s="5"/>
    </row>
    <row r="68" ht="14.25" customHeight="1">
      <c r="D68" s="13"/>
      <c r="E68" s="13"/>
      <c r="F68" s="14"/>
      <c r="P68" s="5"/>
      <c r="Q68" s="5"/>
    </row>
    <row r="69" ht="14.25" customHeight="1">
      <c r="D69" s="13"/>
      <c r="E69" s="13"/>
      <c r="F69" s="14"/>
      <c r="P69" s="5"/>
      <c r="Q69" s="5"/>
    </row>
    <row r="70" ht="14.25" customHeight="1">
      <c r="D70" s="13"/>
      <c r="E70" s="13"/>
      <c r="F70" s="14"/>
      <c r="P70" s="5"/>
      <c r="Q70" s="5"/>
    </row>
    <row r="71" ht="14.25" customHeight="1">
      <c r="D71" s="13"/>
      <c r="E71" s="13"/>
      <c r="F71" s="14"/>
      <c r="P71" s="5"/>
      <c r="Q71" s="5"/>
    </row>
    <row r="72" ht="14.25" customHeight="1">
      <c r="D72" s="13"/>
      <c r="E72" s="13"/>
      <c r="F72" s="14"/>
      <c r="P72" s="5"/>
      <c r="Q72" s="5"/>
    </row>
    <row r="73" ht="14.25" customHeight="1">
      <c r="D73" s="13"/>
      <c r="E73" s="13"/>
      <c r="F73" s="14"/>
      <c r="P73" s="5"/>
      <c r="Q73" s="5"/>
    </row>
    <row r="74" ht="14.25" customHeight="1">
      <c r="D74" s="13"/>
      <c r="E74" s="13"/>
      <c r="F74" s="14"/>
      <c r="P74" s="5"/>
      <c r="Q74" s="5"/>
    </row>
    <row r="75" ht="14.25" customHeight="1">
      <c r="D75" s="13"/>
      <c r="E75" s="13"/>
      <c r="F75" s="14"/>
      <c r="P75" s="5"/>
      <c r="Q75" s="5"/>
    </row>
    <row r="76" ht="14.25" customHeight="1">
      <c r="D76" s="13"/>
      <c r="E76" s="13"/>
      <c r="F76" s="14"/>
      <c r="P76" s="5"/>
      <c r="Q76" s="5"/>
    </row>
    <row r="77" ht="14.25" customHeight="1">
      <c r="D77" s="13"/>
      <c r="E77" s="13"/>
      <c r="F77" s="14"/>
      <c r="P77" s="5"/>
      <c r="Q77" s="5"/>
    </row>
    <row r="78" ht="14.25" customHeight="1">
      <c r="D78" s="13"/>
      <c r="E78" s="13"/>
      <c r="F78" s="14"/>
      <c r="P78" s="5"/>
      <c r="Q78" s="5"/>
    </row>
    <row r="79" ht="14.25" customHeight="1">
      <c r="D79" s="13"/>
      <c r="E79" s="13"/>
      <c r="F79" s="14"/>
      <c r="P79" s="5"/>
      <c r="Q79" s="5"/>
    </row>
    <row r="80" ht="14.25" customHeight="1">
      <c r="D80" s="13"/>
      <c r="E80" s="13"/>
      <c r="F80" s="14"/>
      <c r="P80" s="5"/>
      <c r="Q80" s="5"/>
    </row>
    <row r="81" ht="14.25" customHeight="1">
      <c r="D81" s="13"/>
      <c r="E81" s="13"/>
      <c r="F81" s="14"/>
      <c r="P81" s="5"/>
      <c r="Q81" s="5"/>
    </row>
    <row r="82" ht="14.25" customHeight="1">
      <c r="D82" s="13"/>
      <c r="E82" s="13"/>
      <c r="F82" s="14"/>
      <c r="P82" s="5"/>
      <c r="Q82" s="5"/>
    </row>
    <row r="83" ht="14.25" customHeight="1">
      <c r="D83" s="13"/>
      <c r="E83" s="13"/>
      <c r="F83" s="14"/>
      <c r="P83" s="5"/>
      <c r="Q83" s="5"/>
    </row>
    <row r="84" ht="14.25" customHeight="1">
      <c r="D84" s="13"/>
      <c r="E84" s="13"/>
      <c r="F84" s="14"/>
      <c r="P84" s="5"/>
      <c r="Q84" s="5"/>
    </row>
    <row r="85" ht="14.25" customHeight="1">
      <c r="D85" s="13"/>
      <c r="E85" s="13"/>
      <c r="F85" s="14"/>
      <c r="P85" s="5"/>
      <c r="Q85" s="5"/>
    </row>
    <row r="86" ht="14.25" customHeight="1">
      <c r="D86" s="13"/>
      <c r="E86" s="13"/>
      <c r="F86" s="14"/>
      <c r="P86" s="5"/>
      <c r="Q86" s="5"/>
    </row>
    <row r="87" ht="14.25" customHeight="1">
      <c r="D87" s="13"/>
      <c r="E87" s="13"/>
      <c r="F87" s="14"/>
      <c r="P87" s="5"/>
      <c r="Q87" s="5"/>
    </row>
    <row r="88" ht="14.25" customHeight="1">
      <c r="D88" s="13"/>
      <c r="E88" s="13"/>
      <c r="F88" s="14"/>
      <c r="P88" s="5"/>
      <c r="Q88" s="5"/>
    </row>
    <row r="89" ht="14.25" customHeight="1">
      <c r="D89" s="13"/>
      <c r="E89" s="13"/>
      <c r="F89" s="14"/>
      <c r="P89" s="5"/>
      <c r="Q89" s="5"/>
    </row>
    <row r="90" ht="14.25" customHeight="1">
      <c r="D90" s="13"/>
      <c r="E90" s="13"/>
      <c r="F90" s="14"/>
      <c r="P90" s="5"/>
      <c r="Q90" s="5"/>
    </row>
    <row r="91" ht="14.25" customHeight="1">
      <c r="D91" s="13"/>
      <c r="E91" s="13"/>
      <c r="F91" s="14"/>
      <c r="P91" s="5"/>
      <c r="Q91" s="5"/>
    </row>
    <row r="92" ht="14.25" customHeight="1">
      <c r="D92" s="13"/>
      <c r="E92" s="13"/>
      <c r="F92" s="14"/>
      <c r="P92" s="5"/>
      <c r="Q92" s="5"/>
    </row>
    <row r="93" ht="14.25" customHeight="1">
      <c r="D93" s="13"/>
      <c r="E93" s="13"/>
      <c r="F93" s="14"/>
      <c r="P93" s="5"/>
      <c r="Q93" s="5"/>
    </row>
    <row r="94" ht="14.25" customHeight="1">
      <c r="D94" s="13"/>
      <c r="E94" s="13"/>
      <c r="F94" s="14"/>
      <c r="P94" s="5"/>
      <c r="Q94" s="5"/>
    </row>
    <row r="95" ht="14.25" customHeight="1">
      <c r="D95" s="13"/>
      <c r="E95" s="13"/>
      <c r="F95" s="14"/>
      <c r="P95" s="5"/>
      <c r="Q95" s="5"/>
    </row>
    <row r="96" ht="14.25" customHeight="1">
      <c r="D96" s="13"/>
      <c r="E96" s="13"/>
      <c r="F96" s="14"/>
      <c r="P96" s="5"/>
      <c r="Q96" s="5"/>
    </row>
    <row r="97" ht="14.25" customHeight="1">
      <c r="D97" s="13"/>
      <c r="E97" s="13"/>
      <c r="F97" s="14"/>
      <c r="P97" s="5"/>
      <c r="Q97" s="5"/>
    </row>
    <row r="98" ht="14.25" customHeight="1">
      <c r="D98" s="13"/>
      <c r="E98" s="13"/>
      <c r="F98" s="14"/>
      <c r="P98" s="5"/>
      <c r="Q98" s="5"/>
    </row>
    <row r="99" ht="14.25" customHeight="1">
      <c r="D99" s="13"/>
      <c r="E99" s="13"/>
      <c r="F99" s="14"/>
      <c r="P99" s="5"/>
      <c r="Q99" s="5"/>
    </row>
    <row r="100" ht="14.25" customHeight="1">
      <c r="D100" s="13"/>
      <c r="E100" s="13"/>
      <c r="F100" s="14"/>
      <c r="P100" s="5"/>
      <c r="Q100" s="5"/>
    </row>
    <row r="101" ht="14.25" customHeight="1">
      <c r="D101" s="13"/>
      <c r="E101" s="13"/>
      <c r="F101" s="14"/>
      <c r="P101" s="5"/>
      <c r="Q101" s="5"/>
    </row>
    <row r="102" ht="14.25" customHeight="1">
      <c r="D102" s="13"/>
      <c r="E102" s="13"/>
      <c r="F102" s="14"/>
      <c r="P102" s="5"/>
      <c r="Q102" s="5"/>
    </row>
    <row r="103" ht="14.25" customHeight="1">
      <c r="D103" s="13"/>
      <c r="E103" s="13"/>
      <c r="F103" s="14"/>
      <c r="P103" s="5"/>
      <c r="Q103" s="5"/>
    </row>
    <row r="104" ht="14.25" customHeight="1">
      <c r="D104" s="13"/>
      <c r="E104" s="13"/>
      <c r="F104" s="14"/>
      <c r="P104" s="5"/>
      <c r="Q104" s="5"/>
    </row>
    <row r="105" ht="14.25" customHeight="1">
      <c r="D105" s="13"/>
      <c r="E105" s="13"/>
      <c r="F105" s="14"/>
      <c r="P105" s="5"/>
      <c r="Q105" s="5"/>
    </row>
    <row r="106" ht="14.25" customHeight="1">
      <c r="D106" s="13"/>
      <c r="E106" s="13"/>
      <c r="F106" s="14"/>
      <c r="P106" s="5"/>
      <c r="Q106" s="5"/>
    </row>
    <row r="107" ht="14.25" customHeight="1">
      <c r="D107" s="13"/>
      <c r="E107" s="13"/>
      <c r="F107" s="14"/>
      <c r="P107" s="5"/>
      <c r="Q107" s="5"/>
    </row>
    <row r="108" ht="14.25" customHeight="1">
      <c r="D108" s="13"/>
      <c r="E108" s="13"/>
      <c r="F108" s="14"/>
      <c r="P108" s="5"/>
      <c r="Q108" s="5"/>
    </row>
    <row r="109" ht="14.25" customHeight="1">
      <c r="D109" s="13"/>
      <c r="E109" s="13"/>
      <c r="F109" s="14"/>
      <c r="P109" s="5"/>
      <c r="Q109" s="5"/>
    </row>
    <row r="110" ht="14.25" customHeight="1">
      <c r="D110" s="13"/>
      <c r="E110" s="13"/>
      <c r="F110" s="14"/>
      <c r="P110" s="5"/>
      <c r="Q110" s="5"/>
    </row>
    <row r="111" ht="14.25" customHeight="1">
      <c r="D111" s="13"/>
      <c r="E111" s="13"/>
      <c r="F111" s="14"/>
      <c r="P111" s="5"/>
      <c r="Q111" s="5"/>
    </row>
    <row r="112" ht="14.25" customHeight="1">
      <c r="D112" s="13"/>
      <c r="E112" s="13"/>
      <c r="F112" s="14"/>
      <c r="P112" s="5"/>
      <c r="Q112" s="5"/>
    </row>
    <row r="113" ht="14.25" customHeight="1">
      <c r="D113" s="13"/>
      <c r="E113" s="13"/>
      <c r="F113" s="14"/>
      <c r="P113" s="5"/>
      <c r="Q113" s="5"/>
    </row>
    <row r="114" ht="14.25" customHeight="1">
      <c r="D114" s="13"/>
      <c r="E114" s="13"/>
      <c r="F114" s="14"/>
      <c r="P114" s="5"/>
      <c r="Q114" s="5"/>
    </row>
    <row r="115" ht="14.25" customHeight="1">
      <c r="D115" s="13"/>
      <c r="E115" s="13"/>
      <c r="F115" s="14"/>
      <c r="P115" s="5"/>
      <c r="Q115" s="5"/>
    </row>
    <row r="116" ht="14.25" customHeight="1">
      <c r="D116" s="13"/>
      <c r="E116" s="13"/>
      <c r="F116" s="14"/>
      <c r="P116" s="5"/>
      <c r="Q116" s="5"/>
    </row>
    <row r="117" ht="14.25" customHeight="1">
      <c r="D117" s="13"/>
      <c r="E117" s="13"/>
      <c r="F117" s="14"/>
      <c r="P117" s="5"/>
      <c r="Q117" s="5"/>
    </row>
    <row r="118" ht="14.25" customHeight="1">
      <c r="D118" s="13"/>
      <c r="E118" s="13"/>
      <c r="F118" s="14"/>
      <c r="P118" s="5"/>
      <c r="Q118" s="5"/>
    </row>
    <row r="119" ht="14.25" customHeight="1">
      <c r="D119" s="13"/>
      <c r="E119" s="13"/>
      <c r="F119" s="14"/>
      <c r="P119" s="5"/>
      <c r="Q119" s="5"/>
    </row>
    <row r="120" ht="14.25" customHeight="1">
      <c r="D120" s="13"/>
      <c r="E120" s="13"/>
      <c r="F120" s="14"/>
      <c r="P120" s="5"/>
      <c r="Q120" s="5"/>
    </row>
    <row r="121" ht="14.25" customHeight="1">
      <c r="D121" s="13"/>
      <c r="E121" s="13"/>
      <c r="F121" s="14"/>
      <c r="P121" s="5"/>
      <c r="Q121" s="5"/>
    </row>
    <row r="122" ht="14.25" customHeight="1">
      <c r="D122" s="13"/>
      <c r="E122" s="13"/>
      <c r="F122" s="14"/>
      <c r="P122" s="5"/>
      <c r="Q122" s="5"/>
    </row>
    <row r="123" ht="14.25" customHeight="1">
      <c r="D123" s="13"/>
      <c r="E123" s="13"/>
      <c r="F123" s="14"/>
      <c r="P123" s="5"/>
      <c r="Q123" s="5"/>
    </row>
    <row r="124" ht="14.25" customHeight="1">
      <c r="D124" s="13"/>
      <c r="E124" s="13"/>
      <c r="F124" s="14"/>
      <c r="P124" s="5"/>
      <c r="Q124" s="5"/>
    </row>
    <row r="125" ht="14.25" customHeight="1">
      <c r="D125" s="13"/>
      <c r="E125" s="13"/>
      <c r="F125" s="14"/>
      <c r="P125" s="5"/>
      <c r="Q125" s="5"/>
    </row>
    <row r="126" ht="14.25" customHeight="1">
      <c r="D126" s="13"/>
      <c r="E126" s="13"/>
      <c r="F126" s="14"/>
      <c r="P126" s="5"/>
      <c r="Q126" s="5"/>
    </row>
    <row r="127" ht="14.25" customHeight="1">
      <c r="D127" s="13"/>
      <c r="E127" s="13"/>
      <c r="F127" s="14"/>
      <c r="P127" s="5"/>
      <c r="Q127" s="5"/>
    </row>
    <row r="128" ht="14.25" customHeight="1">
      <c r="D128" s="13"/>
      <c r="E128" s="13"/>
      <c r="F128" s="14"/>
      <c r="P128" s="5"/>
      <c r="Q128" s="5"/>
    </row>
    <row r="129" ht="14.25" customHeight="1">
      <c r="D129" s="13"/>
      <c r="E129" s="13"/>
      <c r="F129" s="14"/>
      <c r="P129" s="5"/>
      <c r="Q129" s="5"/>
    </row>
    <row r="130" ht="14.25" customHeight="1">
      <c r="D130" s="13"/>
      <c r="E130" s="13"/>
      <c r="F130" s="14"/>
      <c r="P130" s="5"/>
      <c r="Q130" s="5"/>
    </row>
    <row r="131" ht="14.25" customHeight="1">
      <c r="D131" s="13"/>
      <c r="E131" s="13"/>
      <c r="F131" s="14"/>
      <c r="P131" s="5"/>
      <c r="Q131" s="5"/>
    </row>
    <row r="132" ht="14.25" customHeight="1">
      <c r="D132" s="13"/>
      <c r="E132" s="13"/>
      <c r="F132" s="14"/>
      <c r="P132" s="5"/>
      <c r="Q132" s="5"/>
    </row>
    <row r="133" ht="14.25" customHeight="1">
      <c r="D133" s="13"/>
      <c r="E133" s="13"/>
      <c r="F133" s="14"/>
      <c r="P133" s="5"/>
      <c r="Q133" s="5"/>
    </row>
    <row r="134" ht="14.25" customHeight="1">
      <c r="D134" s="13"/>
      <c r="E134" s="13"/>
      <c r="F134" s="14"/>
      <c r="P134" s="5"/>
      <c r="Q134" s="5"/>
    </row>
    <row r="135" ht="14.25" customHeight="1">
      <c r="D135" s="13"/>
      <c r="E135" s="13"/>
      <c r="F135" s="14"/>
      <c r="P135" s="5"/>
      <c r="Q135" s="5"/>
    </row>
    <row r="136" ht="14.25" customHeight="1">
      <c r="D136" s="13"/>
      <c r="E136" s="13"/>
      <c r="F136" s="14"/>
      <c r="P136" s="5"/>
      <c r="Q136" s="5"/>
    </row>
    <row r="137" ht="14.25" customHeight="1">
      <c r="D137" s="13"/>
      <c r="E137" s="13"/>
      <c r="F137" s="14"/>
      <c r="P137" s="5"/>
      <c r="Q137" s="5"/>
    </row>
    <row r="138" ht="14.25" customHeight="1">
      <c r="D138" s="13"/>
      <c r="E138" s="13"/>
      <c r="F138" s="14"/>
      <c r="P138" s="5"/>
      <c r="Q138" s="5"/>
    </row>
    <row r="139" ht="14.25" customHeight="1">
      <c r="D139" s="13"/>
      <c r="E139" s="13"/>
      <c r="F139" s="14"/>
      <c r="P139" s="5"/>
      <c r="Q139" s="5"/>
    </row>
    <row r="140" ht="14.25" customHeight="1">
      <c r="D140" s="13"/>
      <c r="E140" s="13"/>
      <c r="F140" s="14"/>
      <c r="P140" s="5"/>
      <c r="Q140" s="5"/>
    </row>
    <row r="141" ht="14.25" customHeight="1">
      <c r="D141" s="13"/>
      <c r="E141" s="13"/>
      <c r="F141" s="14"/>
      <c r="P141" s="5"/>
      <c r="Q141" s="5"/>
    </row>
    <row r="142" ht="14.25" customHeight="1">
      <c r="D142" s="13"/>
      <c r="E142" s="13"/>
      <c r="F142" s="14"/>
      <c r="P142" s="5"/>
      <c r="Q142" s="5"/>
    </row>
    <row r="143" ht="14.25" customHeight="1">
      <c r="D143" s="13"/>
      <c r="E143" s="13"/>
      <c r="F143" s="14"/>
      <c r="P143" s="5"/>
      <c r="Q143" s="5"/>
    </row>
    <row r="144" ht="14.25" customHeight="1">
      <c r="D144" s="13"/>
      <c r="E144" s="13"/>
      <c r="F144" s="14"/>
      <c r="P144" s="5"/>
      <c r="Q144" s="5"/>
    </row>
    <row r="145" ht="14.25" customHeight="1">
      <c r="D145" s="13"/>
      <c r="E145" s="13"/>
      <c r="F145" s="14"/>
      <c r="P145" s="5"/>
      <c r="Q145" s="5"/>
    </row>
    <row r="146" ht="14.25" customHeight="1">
      <c r="D146" s="13"/>
      <c r="E146" s="13"/>
      <c r="F146" s="14"/>
      <c r="P146" s="5"/>
      <c r="Q146" s="5"/>
    </row>
    <row r="147" ht="14.25" customHeight="1">
      <c r="D147" s="13"/>
      <c r="E147" s="13"/>
      <c r="F147" s="14"/>
      <c r="P147" s="5"/>
      <c r="Q147" s="5"/>
    </row>
    <row r="148" ht="14.25" customHeight="1">
      <c r="D148" s="13"/>
      <c r="E148" s="13"/>
      <c r="F148" s="14"/>
      <c r="P148" s="5"/>
      <c r="Q148" s="5"/>
    </row>
    <row r="149" ht="14.25" customHeight="1">
      <c r="D149" s="13"/>
      <c r="E149" s="13"/>
      <c r="F149" s="14"/>
      <c r="P149" s="5"/>
      <c r="Q149" s="5"/>
    </row>
    <row r="150" ht="14.25" customHeight="1">
      <c r="D150" s="13"/>
      <c r="E150" s="13"/>
      <c r="F150" s="14"/>
      <c r="P150" s="5"/>
      <c r="Q150" s="5"/>
    </row>
    <row r="151" ht="14.25" customHeight="1">
      <c r="D151" s="13"/>
      <c r="E151" s="13"/>
      <c r="F151" s="14"/>
      <c r="P151" s="5"/>
      <c r="Q151" s="5"/>
    </row>
    <row r="152" ht="14.25" customHeight="1">
      <c r="D152" s="13"/>
      <c r="E152" s="13"/>
      <c r="F152" s="14"/>
      <c r="P152" s="5"/>
      <c r="Q152" s="5"/>
    </row>
    <row r="153" ht="14.25" customHeight="1">
      <c r="D153" s="13"/>
      <c r="E153" s="13"/>
      <c r="F153" s="14"/>
      <c r="P153" s="5"/>
      <c r="Q153" s="5"/>
    </row>
    <row r="154" ht="14.25" customHeight="1">
      <c r="D154" s="13"/>
      <c r="E154" s="13"/>
      <c r="F154" s="14"/>
      <c r="P154" s="5"/>
      <c r="Q154" s="5"/>
    </row>
    <row r="155" ht="14.25" customHeight="1">
      <c r="D155" s="13"/>
      <c r="E155" s="13"/>
      <c r="F155" s="14"/>
      <c r="P155" s="5"/>
      <c r="Q155" s="5"/>
    </row>
    <row r="156" ht="14.25" customHeight="1">
      <c r="D156" s="13"/>
      <c r="E156" s="13"/>
      <c r="F156" s="14"/>
      <c r="P156" s="5"/>
      <c r="Q156" s="5"/>
    </row>
    <row r="157" ht="14.25" customHeight="1">
      <c r="D157" s="13"/>
      <c r="E157" s="13"/>
      <c r="F157" s="14"/>
      <c r="P157" s="5"/>
      <c r="Q157" s="5"/>
    </row>
    <row r="158" ht="14.25" customHeight="1">
      <c r="D158" s="13"/>
      <c r="E158" s="13"/>
      <c r="F158" s="14"/>
      <c r="P158" s="5"/>
      <c r="Q158" s="5"/>
    </row>
    <row r="159" ht="14.25" customHeight="1">
      <c r="D159" s="13"/>
      <c r="E159" s="13"/>
      <c r="F159" s="14"/>
      <c r="P159" s="5"/>
      <c r="Q159" s="5"/>
    </row>
    <row r="160" ht="14.25" customHeight="1">
      <c r="D160" s="13"/>
      <c r="E160" s="13"/>
      <c r="F160" s="14"/>
      <c r="P160" s="5"/>
      <c r="Q160" s="5"/>
    </row>
    <row r="161" ht="14.25" customHeight="1">
      <c r="D161" s="13"/>
      <c r="E161" s="13"/>
      <c r="F161" s="14"/>
      <c r="P161" s="5"/>
      <c r="Q161" s="5"/>
    </row>
    <row r="162" ht="14.25" customHeight="1">
      <c r="D162" s="13"/>
      <c r="E162" s="13"/>
      <c r="F162" s="14"/>
      <c r="P162" s="5"/>
      <c r="Q162" s="5"/>
    </row>
    <row r="163" ht="14.25" customHeight="1">
      <c r="D163" s="13"/>
      <c r="E163" s="13"/>
      <c r="F163" s="14"/>
      <c r="P163" s="5"/>
      <c r="Q163" s="5"/>
    </row>
    <row r="164" ht="14.25" customHeight="1">
      <c r="D164" s="13"/>
      <c r="E164" s="13"/>
      <c r="F164" s="14"/>
      <c r="P164" s="5"/>
      <c r="Q164" s="5"/>
    </row>
    <row r="165" ht="14.25" customHeight="1">
      <c r="D165" s="13"/>
      <c r="E165" s="13"/>
      <c r="F165" s="14"/>
      <c r="P165" s="5"/>
      <c r="Q165" s="5"/>
    </row>
    <row r="166" ht="14.25" customHeight="1">
      <c r="D166" s="13"/>
      <c r="E166" s="13"/>
      <c r="F166" s="14"/>
      <c r="P166" s="5"/>
      <c r="Q166" s="5"/>
    </row>
    <row r="167" ht="14.25" customHeight="1">
      <c r="D167" s="13"/>
      <c r="E167" s="13"/>
      <c r="F167" s="14"/>
      <c r="P167" s="5"/>
      <c r="Q167" s="5"/>
    </row>
    <row r="168" ht="14.25" customHeight="1">
      <c r="D168" s="13"/>
      <c r="E168" s="13"/>
      <c r="F168" s="14"/>
      <c r="P168" s="5"/>
      <c r="Q168" s="5"/>
    </row>
    <row r="169" ht="14.25" customHeight="1">
      <c r="D169" s="13"/>
      <c r="E169" s="13"/>
      <c r="F169" s="14"/>
      <c r="P169" s="5"/>
      <c r="Q169" s="5"/>
    </row>
    <row r="170" ht="14.25" customHeight="1">
      <c r="D170" s="13"/>
      <c r="E170" s="13"/>
      <c r="F170" s="14"/>
      <c r="P170" s="5"/>
      <c r="Q170" s="5"/>
    </row>
    <row r="171" ht="14.25" customHeight="1">
      <c r="D171" s="13"/>
      <c r="E171" s="13"/>
      <c r="F171" s="14"/>
      <c r="P171" s="5"/>
      <c r="Q171" s="5"/>
    </row>
    <row r="172" ht="14.25" customHeight="1">
      <c r="D172" s="13"/>
      <c r="E172" s="13"/>
      <c r="F172" s="14"/>
      <c r="P172" s="5"/>
      <c r="Q172" s="5"/>
    </row>
    <row r="173" ht="14.25" customHeight="1">
      <c r="D173" s="13"/>
      <c r="E173" s="13"/>
      <c r="F173" s="14"/>
      <c r="P173" s="5"/>
      <c r="Q173" s="5"/>
    </row>
    <row r="174" ht="14.25" customHeight="1">
      <c r="D174" s="13"/>
      <c r="E174" s="13"/>
      <c r="F174" s="14"/>
      <c r="P174" s="5"/>
      <c r="Q174" s="5"/>
    </row>
    <row r="175" ht="14.25" customHeight="1">
      <c r="D175" s="13"/>
      <c r="E175" s="13"/>
      <c r="F175" s="14"/>
      <c r="P175" s="5"/>
      <c r="Q175" s="5"/>
    </row>
    <row r="176" ht="14.25" customHeight="1">
      <c r="D176" s="13"/>
      <c r="E176" s="13"/>
      <c r="F176" s="14"/>
      <c r="P176" s="5"/>
      <c r="Q176" s="5"/>
    </row>
    <row r="177" ht="14.25" customHeight="1">
      <c r="D177" s="13"/>
      <c r="E177" s="13"/>
      <c r="F177" s="14"/>
      <c r="P177" s="5"/>
      <c r="Q177" s="5"/>
    </row>
    <row r="178" ht="14.25" customHeight="1">
      <c r="D178" s="13"/>
      <c r="E178" s="13"/>
      <c r="F178" s="14"/>
      <c r="P178" s="5"/>
      <c r="Q178" s="5"/>
    </row>
    <row r="179" ht="14.25" customHeight="1">
      <c r="D179" s="13"/>
      <c r="E179" s="13"/>
      <c r="F179" s="14"/>
      <c r="P179" s="5"/>
      <c r="Q179" s="5"/>
    </row>
    <row r="180" ht="14.25" customHeight="1">
      <c r="D180" s="13"/>
      <c r="E180" s="13"/>
      <c r="F180" s="14"/>
      <c r="P180" s="5"/>
      <c r="Q180" s="5"/>
    </row>
    <row r="181" ht="14.25" customHeight="1">
      <c r="D181" s="13"/>
      <c r="E181" s="13"/>
      <c r="F181" s="14"/>
      <c r="P181" s="5"/>
      <c r="Q181" s="5"/>
    </row>
    <row r="182" ht="14.25" customHeight="1">
      <c r="D182" s="13"/>
      <c r="E182" s="13"/>
      <c r="F182" s="14"/>
      <c r="P182" s="5"/>
      <c r="Q182" s="5"/>
    </row>
    <row r="183" ht="14.25" customHeight="1">
      <c r="D183" s="13"/>
      <c r="E183" s="13"/>
      <c r="F183" s="14"/>
      <c r="P183" s="5"/>
      <c r="Q183" s="5"/>
    </row>
    <row r="184" ht="14.25" customHeight="1">
      <c r="D184" s="13"/>
      <c r="E184" s="13"/>
      <c r="F184" s="14"/>
      <c r="P184" s="5"/>
      <c r="Q184" s="5"/>
    </row>
    <row r="185" ht="14.25" customHeight="1">
      <c r="D185" s="13"/>
      <c r="E185" s="13"/>
      <c r="F185" s="14"/>
      <c r="P185" s="5"/>
      <c r="Q185" s="5"/>
    </row>
    <row r="186" ht="14.25" customHeight="1">
      <c r="D186" s="13"/>
      <c r="E186" s="13"/>
      <c r="F186" s="14"/>
      <c r="P186" s="5"/>
      <c r="Q186" s="5"/>
    </row>
    <row r="187" ht="14.25" customHeight="1">
      <c r="D187" s="13"/>
      <c r="E187" s="13"/>
      <c r="F187" s="14"/>
      <c r="P187" s="5"/>
      <c r="Q187" s="5"/>
    </row>
    <row r="188" ht="14.25" customHeight="1">
      <c r="D188" s="13"/>
      <c r="E188" s="13"/>
      <c r="F188" s="14"/>
      <c r="P188" s="5"/>
      <c r="Q188" s="5"/>
    </row>
    <row r="189" ht="14.25" customHeight="1">
      <c r="D189" s="13"/>
      <c r="E189" s="13"/>
      <c r="F189" s="14"/>
      <c r="P189" s="5"/>
      <c r="Q189" s="5"/>
    </row>
    <row r="190" ht="14.25" customHeight="1">
      <c r="D190" s="13"/>
      <c r="E190" s="13"/>
      <c r="F190" s="14"/>
      <c r="P190" s="5"/>
      <c r="Q190" s="5"/>
    </row>
    <row r="191" ht="14.25" customHeight="1">
      <c r="D191" s="13"/>
      <c r="E191" s="13"/>
      <c r="F191" s="14"/>
      <c r="P191" s="5"/>
      <c r="Q191" s="5"/>
    </row>
    <row r="192" ht="14.25" customHeight="1">
      <c r="D192" s="13"/>
      <c r="E192" s="13"/>
      <c r="F192" s="14"/>
      <c r="P192" s="5"/>
      <c r="Q192" s="5"/>
    </row>
    <row r="193" ht="14.25" customHeight="1">
      <c r="D193" s="13"/>
      <c r="E193" s="13"/>
      <c r="F193" s="14"/>
      <c r="P193" s="5"/>
      <c r="Q193" s="5"/>
    </row>
    <row r="194" ht="14.25" customHeight="1">
      <c r="D194" s="13"/>
      <c r="E194" s="13"/>
      <c r="F194" s="14"/>
      <c r="P194" s="5"/>
      <c r="Q194" s="5"/>
    </row>
    <row r="195" ht="14.25" customHeight="1">
      <c r="D195" s="13"/>
      <c r="E195" s="13"/>
      <c r="F195" s="14"/>
      <c r="P195" s="5"/>
      <c r="Q195" s="5"/>
    </row>
    <row r="196" ht="14.25" customHeight="1">
      <c r="D196" s="13"/>
      <c r="E196" s="13"/>
      <c r="F196" s="14"/>
      <c r="P196" s="5"/>
      <c r="Q196" s="5"/>
    </row>
    <row r="197" ht="14.25" customHeight="1">
      <c r="D197" s="13"/>
      <c r="E197" s="13"/>
      <c r="F197" s="14"/>
      <c r="P197" s="5"/>
      <c r="Q197" s="5"/>
    </row>
    <row r="198" ht="14.25" customHeight="1">
      <c r="D198" s="13"/>
      <c r="E198" s="13"/>
      <c r="F198" s="14"/>
      <c r="P198" s="5"/>
      <c r="Q198" s="5"/>
    </row>
    <row r="199" ht="14.25" customHeight="1">
      <c r="D199" s="13"/>
      <c r="E199" s="13"/>
      <c r="F199" s="14"/>
      <c r="P199" s="5"/>
      <c r="Q199" s="5"/>
    </row>
    <row r="200" ht="14.25" customHeight="1">
      <c r="D200" s="13"/>
      <c r="E200" s="13"/>
      <c r="F200" s="14"/>
      <c r="P200" s="5"/>
      <c r="Q200" s="5"/>
    </row>
    <row r="201" ht="14.25" customHeight="1">
      <c r="D201" s="13"/>
      <c r="E201" s="13"/>
      <c r="F201" s="14"/>
      <c r="P201" s="5"/>
      <c r="Q201" s="5"/>
    </row>
    <row r="202" ht="14.25" customHeight="1">
      <c r="D202" s="13"/>
      <c r="E202" s="13"/>
      <c r="F202" s="14"/>
      <c r="P202" s="5"/>
      <c r="Q202" s="5"/>
    </row>
    <row r="203" ht="14.25" customHeight="1">
      <c r="D203" s="13"/>
      <c r="E203" s="13"/>
      <c r="F203" s="14"/>
      <c r="P203" s="5"/>
      <c r="Q203" s="5"/>
    </row>
    <row r="204" ht="14.25" customHeight="1">
      <c r="D204" s="13"/>
      <c r="E204" s="13"/>
      <c r="F204" s="14"/>
      <c r="P204" s="5"/>
      <c r="Q204" s="5"/>
    </row>
    <row r="205" ht="14.25" customHeight="1">
      <c r="D205" s="13"/>
      <c r="E205" s="13"/>
      <c r="F205" s="14"/>
      <c r="P205" s="5"/>
      <c r="Q205" s="5"/>
    </row>
    <row r="206" ht="14.25" customHeight="1">
      <c r="D206" s="13"/>
      <c r="E206" s="13"/>
      <c r="F206" s="14"/>
      <c r="P206" s="5"/>
      <c r="Q206" s="5"/>
    </row>
    <row r="207" ht="14.25" customHeight="1">
      <c r="D207" s="13"/>
      <c r="E207" s="13"/>
      <c r="F207" s="14"/>
      <c r="P207" s="5"/>
      <c r="Q207" s="5"/>
    </row>
    <row r="208" ht="14.25" customHeight="1">
      <c r="D208" s="13"/>
      <c r="E208" s="13"/>
      <c r="F208" s="14"/>
      <c r="P208" s="5"/>
      <c r="Q208" s="5"/>
    </row>
    <row r="209" ht="14.25" customHeight="1">
      <c r="D209" s="13"/>
      <c r="E209" s="13"/>
      <c r="F209" s="14"/>
      <c r="P209" s="5"/>
      <c r="Q209" s="5"/>
    </row>
    <row r="210" ht="14.25" customHeight="1">
      <c r="D210" s="13"/>
      <c r="E210" s="13"/>
      <c r="F210" s="14"/>
      <c r="P210" s="5"/>
      <c r="Q210" s="5"/>
    </row>
    <row r="211" ht="14.25" customHeight="1">
      <c r="D211" s="13"/>
      <c r="E211" s="13"/>
      <c r="F211" s="14"/>
      <c r="P211" s="5"/>
      <c r="Q211" s="5"/>
    </row>
    <row r="212" ht="14.25" customHeight="1">
      <c r="D212" s="13"/>
      <c r="E212" s="13"/>
      <c r="F212" s="14"/>
      <c r="P212" s="5"/>
      <c r="Q212" s="5"/>
    </row>
    <row r="213" ht="14.25" customHeight="1">
      <c r="D213" s="13"/>
      <c r="E213" s="13"/>
      <c r="F213" s="14"/>
      <c r="P213" s="5"/>
      <c r="Q213" s="5"/>
    </row>
    <row r="214" ht="14.25" customHeight="1">
      <c r="D214" s="13"/>
      <c r="E214" s="13"/>
      <c r="F214" s="14"/>
      <c r="P214" s="5"/>
      <c r="Q214" s="5"/>
    </row>
    <row r="215" ht="14.25" customHeight="1">
      <c r="D215" s="13"/>
      <c r="E215" s="13"/>
      <c r="F215" s="14"/>
      <c r="P215" s="5"/>
      <c r="Q215" s="5"/>
    </row>
    <row r="216" ht="14.25" customHeight="1">
      <c r="D216" s="13"/>
      <c r="E216" s="13"/>
      <c r="F216" s="14"/>
      <c r="P216" s="5"/>
      <c r="Q216" s="5"/>
    </row>
    <row r="217" ht="14.25" customHeight="1">
      <c r="D217" s="13"/>
      <c r="E217" s="13"/>
      <c r="F217" s="14"/>
      <c r="P217" s="5"/>
      <c r="Q217" s="5"/>
    </row>
    <row r="218" ht="14.25" customHeight="1">
      <c r="D218" s="13"/>
      <c r="E218" s="13"/>
      <c r="F218" s="14"/>
      <c r="P218" s="5"/>
      <c r="Q218" s="5"/>
    </row>
    <row r="219" ht="14.25" customHeight="1">
      <c r="D219" s="13"/>
      <c r="E219" s="13"/>
      <c r="F219" s="14"/>
      <c r="P219" s="5"/>
      <c r="Q219" s="5"/>
    </row>
    <row r="220" ht="14.25" customHeight="1">
      <c r="D220" s="13"/>
      <c r="E220" s="13"/>
      <c r="F220" s="14"/>
      <c r="P220" s="5"/>
      <c r="Q220" s="5"/>
    </row>
    <row r="221" ht="14.25" customHeight="1">
      <c r="D221" s="13"/>
      <c r="E221" s="13"/>
      <c r="F221" s="14"/>
      <c r="P221" s="5"/>
      <c r="Q221" s="5"/>
    </row>
    <row r="222" ht="14.25" customHeight="1">
      <c r="D222" s="13"/>
      <c r="E222" s="13"/>
      <c r="F222" s="14"/>
      <c r="P222" s="5"/>
      <c r="Q222" s="5"/>
    </row>
    <row r="223" ht="14.25" customHeight="1">
      <c r="D223" s="13"/>
      <c r="E223" s="13"/>
      <c r="F223" s="14"/>
      <c r="P223" s="5"/>
      <c r="Q223" s="5"/>
    </row>
    <row r="224" ht="14.25" customHeight="1">
      <c r="D224" s="13"/>
      <c r="E224" s="13"/>
      <c r="F224" s="14"/>
      <c r="P224" s="5"/>
      <c r="Q224" s="5"/>
    </row>
    <row r="225" ht="14.25" customHeight="1">
      <c r="D225" s="13"/>
      <c r="E225" s="13"/>
      <c r="F225" s="14"/>
      <c r="P225" s="5"/>
      <c r="Q225" s="5"/>
    </row>
    <row r="226" ht="14.25" customHeight="1">
      <c r="D226" s="13"/>
      <c r="E226" s="13"/>
      <c r="F226" s="14"/>
      <c r="P226" s="5"/>
      <c r="Q226" s="5"/>
    </row>
    <row r="227" ht="14.25" customHeight="1">
      <c r="D227" s="13"/>
      <c r="E227" s="13"/>
      <c r="F227" s="14"/>
      <c r="P227" s="5"/>
      <c r="Q227" s="5"/>
    </row>
    <row r="228" ht="14.25" customHeight="1">
      <c r="D228" s="13"/>
      <c r="E228" s="13"/>
      <c r="F228" s="14"/>
      <c r="P228" s="5"/>
      <c r="Q228" s="5"/>
    </row>
    <row r="229" ht="14.25" customHeight="1">
      <c r="D229" s="13"/>
      <c r="E229" s="13"/>
      <c r="F229" s="14"/>
      <c r="P229" s="5"/>
      <c r="Q229" s="5"/>
    </row>
    <row r="230" ht="14.25" customHeight="1">
      <c r="D230" s="13"/>
      <c r="E230" s="13"/>
      <c r="F230" s="14"/>
      <c r="P230" s="5"/>
      <c r="Q230" s="5"/>
    </row>
    <row r="231" ht="14.25" customHeight="1">
      <c r="D231" s="13"/>
      <c r="E231" s="13"/>
      <c r="F231" s="14"/>
      <c r="P231" s="5"/>
      <c r="Q231" s="5"/>
    </row>
    <row r="232" ht="14.25" customHeight="1">
      <c r="D232" s="13"/>
      <c r="E232" s="13"/>
      <c r="F232" s="14"/>
      <c r="P232" s="5"/>
      <c r="Q232" s="5"/>
    </row>
    <row r="233" ht="14.25" customHeight="1">
      <c r="D233" s="13"/>
      <c r="E233" s="13"/>
      <c r="F233" s="14"/>
      <c r="P233" s="5"/>
      <c r="Q233" s="5"/>
    </row>
    <row r="234" ht="14.25" customHeight="1">
      <c r="D234" s="13"/>
      <c r="E234" s="13"/>
      <c r="F234" s="14"/>
      <c r="P234" s="5"/>
      <c r="Q234" s="5"/>
    </row>
    <row r="235" ht="14.25" customHeight="1">
      <c r="D235" s="13"/>
      <c r="E235" s="13"/>
      <c r="F235" s="14"/>
      <c r="P235" s="5"/>
      <c r="Q235" s="5"/>
    </row>
    <row r="236" ht="14.25" customHeight="1">
      <c r="D236" s="13"/>
      <c r="E236" s="13"/>
      <c r="F236" s="14"/>
      <c r="P236" s="5"/>
      <c r="Q236" s="5"/>
    </row>
    <row r="237" ht="14.25" customHeight="1">
      <c r="D237" s="13"/>
      <c r="E237" s="13"/>
      <c r="F237" s="14"/>
      <c r="P237" s="5"/>
      <c r="Q237" s="5"/>
    </row>
    <row r="238" ht="14.25" customHeight="1">
      <c r="D238" s="13"/>
      <c r="E238" s="13"/>
      <c r="F238" s="14"/>
      <c r="P238" s="5"/>
      <c r="Q238" s="5"/>
    </row>
    <row r="239" ht="14.25" customHeight="1">
      <c r="D239" s="13"/>
      <c r="E239" s="13"/>
      <c r="F239" s="14"/>
      <c r="P239" s="5"/>
      <c r="Q239" s="5"/>
    </row>
    <row r="240" ht="14.25" customHeight="1">
      <c r="D240" s="13"/>
      <c r="E240" s="13"/>
      <c r="F240" s="14"/>
      <c r="P240" s="5"/>
      <c r="Q240" s="5"/>
    </row>
    <row r="241" ht="14.25" customHeight="1">
      <c r="D241" s="13"/>
      <c r="E241" s="13"/>
      <c r="F241" s="14"/>
      <c r="P241" s="5"/>
      <c r="Q241" s="5"/>
    </row>
    <row r="242" ht="14.25" customHeight="1">
      <c r="D242" s="13"/>
      <c r="E242" s="13"/>
      <c r="F242" s="14"/>
      <c r="P242" s="5"/>
      <c r="Q242" s="5"/>
    </row>
    <row r="243" ht="14.25" customHeight="1">
      <c r="D243" s="13"/>
      <c r="E243" s="13"/>
      <c r="F243" s="14"/>
      <c r="P243" s="5"/>
      <c r="Q243" s="5"/>
    </row>
    <row r="244" ht="14.25" customHeight="1">
      <c r="D244" s="13"/>
      <c r="E244" s="13"/>
      <c r="F244" s="14"/>
      <c r="P244" s="5"/>
      <c r="Q244" s="5"/>
    </row>
    <row r="245" ht="14.25" customHeight="1">
      <c r="D245" s="13"/>
      <c r="E245" s="13"/>
      <c r="F245" s="14"/>
      <c r="P245" s="5"/>
      <c r="Q245" s="5"/>
    </row>
    <row r="246" ht="14.25" customHeight="1">
      <c r="D246" s="13"/>
      <c r="E246" s="13"/>
      <c r="F246" s="14"/>
      <c r="P246" s="5"/>
      <c r="Q246" s="5"/>
    </row>
    <row r="247" ht="14.25" customHeight="1">
      <c r="D247" s="13"/>
      <c r="E247" s="13"/>
      <c r="F247" s="14"/>
      <c r="P247" s="5"/>
      <c r="Q247" s="5"/>
    </row>
    <row r="248" ht="14.25" customHeight="1">
      <c r="D248" s="13"/>
      <c r="E248" s="13"/>
      <c r="F248" s="14"/>
      <c r="P248" s="5"/>
      <c r="Q248" s="5"/>
    </row>
    <row r="249" ht="14.25" customHeight="1">
      <c r="D249" s="13"/>
      <c r="E249" s="13"/>
      <c r="F249" s="14"/>
      <c r="P249" s="5"/>
      <c r="Q249" s="5"/>
    </row>
    <row r="250" ht="14.25" customHeight="1">
      <c r="D250" s="13"/>
      <c r="E250" s="13"/>
      <c r="F250" s="14"/>
      <c r="P250" s="5"/>
      <c r="Q250" s="5"/>
    </row>
    <row r="251" ht="14.25" customHeight="1">
      <c r="D251" s="13"/>
      <c r="E251" s="13"/>
      <c r="F251" s="14"/>
      <c r="P251" s="5"/>
      <c r="Q251" s="5"/>
    </row>
    <row r="252" ht="14.25" customHeight="1">
      <c r="D252" s="13"/>
      <c r="E252" s="13"/>
      <c r="F252" s="14"/>
      <c r="P252" s="5"/>
      <c r="Q252" s="5"/>
    </row>
    <row r="253" ht="14.25" customHeight="1">
      <c r="D253" s="13"/>
      <c r="E253" s="13"/>
      <c r="F253" s="14"/>
      <c r="P253" s="5"/>
      <c r="Q253" s="5"/>
    </row>
    <row r="254" ht="14.25" customHeight="1">
      <c r="D254" s="13"/>
      <c r="E254" s="13"/>
      <c r="F254" s="14"/>
      <c r="P254" s="5"/>
      <c r="Q254" s="5"/>
    </row>
    <row r="255" ht="14.25" customHeight="1">
      <c r="D255" s="13"/>
      <c r="E255" s="13"/>
      <c r="F255" s="14"/>
      <c r="P255" s="5"/>
      <c r="Q255" s="5"/>
    </row>
    <row r="256" ht="14.25" customHeight="1">
      <c r="D256" s="13"/>
      <c r="E256" s="13"/>
      <c r="F256" s="14"/>
      <c r="P256" s="5"/>
      <c r="Q256" s="5"/>
    </row>
    <row r="257" ht="14.25" customHeight="1">
      <c r="D257" s="13"/>
      <c r="E257" s="13"/>
      <c r="F257" s="14"/>
      <c r="P257" s="5"/>
      <c r="Q257" s="5"/>
    </row>
    <row r="258" ht="14.25" customHeight="1">
      <c r="D258" s="13"/>
      <c r="E258" s="13"/>
      <c r="F258" s="14"/>
      <c r="P258" s="5"/>
      <c r="Q258" s="5"/>
    </row>
    <row r="259" ht="14.25" customHeight="1">
      <c r="D259" s="13"/>
      <c r="E259" s="13"/>
      <c r="F259" s="14"/>
      <c r="P259" s="5"/>
      <c r="Q259" s="5"/>
    </row>
    <row r="260" ht="14.25" customHeight="1">
      <c r="D260" s="13"/>
      <c r="E260" s="13"/>
      <c r="F260" s="14"/>
      <c r="P260" s="5"/>
      <c r="Q260" s="5"/>
    </row>
    <row r="261" ht="14.25" customHeight="1">
      <c r="D261" s="13"/>
      <c r="E261" s="13"/>
      <c r="F261" s="14"/>
      <c r="P261" s="5"/>
      <c r="Q261" s="5"/>
    </row>
    <row r="262" ht="14.25" customHeight="1">
      <c r="D262" s="13"/>
      <c r="E262" s="13"/>
      <c r="F262" s="14"/>
      <c r="P262" s="5"/>
      <c r="Q262" s="5"/>
    </row>
    <row r="263" ht="14.25" customHeight="1">
      <c r="D263" s="13"/>
      <c r="E263" s="13"/>
      <c r="F263" s="14"/>
      <c r="P263" s="5"/>
      <c r="Q263" s="5"/>
    </row>
    <row r="264" ht="14.25" customHeight="1">
      <c r="D264" s="13"/>
      <c r="E264" s="13"/>
      <c r="F264" s="14"/>
      <c r="P264" s="5"/>
      <c r="Q264" s="5"/>
    </row>
    <row r="265" ht="14.25" customHeight="1">
      <c r="D265" s="13"/>
      <c r="E265" s="13"/>
      <c r="F265" s="14"/>
      <c r="P265" s="5"/>
      <c r="Q265" s="5"/>
    </row>
    <row r="266" ht="14.25" customHeight="1">
      <c r="D266" s="13"/>
      <c r="E266" s="13"/>
      <c r="F266" s="14"/>
      <c r="P266" s="5"/>
      <c r="Q266" s="5"/>
    </row>
    <row r="267" ht="14.25" customHeight="1">
      <c r="D267" s="13"/>
      <c r="E267" s="13"/>
      <c r="F267" s="14"/>
      <c r="P267" s="5"/>
      <c r="Q267" s="5"/>
    </row>
    <row r="268" ht="14.25" customHeight="1">
      <c r="D268" s="13"/>
      <c r="E268" s="13"/>
      <c r="F268" s="14"/>
      <c r="P268" s="5"/>
      <c r="Q268" s="5"/>
    </row>
    <row r="269" ht="14.25" customHeight="1">
      <c r="D269" s="13"/>
      <c r="E269" s="13"/>
      <c r="F269" s="14"/>
      <c r="P269" s="5"/>
      <c r="Q269" s="5"/>
    </row>
    <row r="270" ht="14.25" customHeight="1">
      <c r="D270" s="13"/>
      <c r="E270" s="13"/>
      <c r="F270" s="14"/>
      <c r="P270" s="5"/>
      <c r="Q270" s="5"/>
    </row>
    <row r="271" ht="14.25" customHeight="1">
      <c r="D271" s="13"/>
      <c r="E271" s="13"/>
      <c r="F271" s="14"/>
      <c r="P271" s="5"/>
      <c r="Q271" s="5"/>
    </row>
    <row r="272" ht="14.25" customHeight="1">
      <c r="D272" s="13"/>
      <c r="E272" s="13"/>
      <c r="F272" s="14"/>
      <c r="P272" s="5"/>
      <c r="Q272" s="5"/>
    </row>
    <row r="273" ht="14.25" customHeight="1">
      <c r="D273" s="13"/>
      <c r="E273" s="13"/>
      <c r="F273" s="14"/>
      <c r="P273" s="5"/>
      <c r="Q273" s="5"/>
    </row>
    <row r="274" ht="14.25" customHeight="1">
      <c r="D274" s="13"/>
      <c r="E274" s="13"/>
      <c r="F274" s="14"/>
      <c r="P274" s="5"/>
      <c r="Q274" s="5"/>
    </row>
    <row r="275" ht="14.25" customHeight="1">
      <c r="D275" s="13"/>
      <c r="E275" s="13"/>
      <c r="F275" s="14"/>
      <c r="P275" s="5"/>
      <c r="Q275" s="5"/>
    </row>
    <row r="276" ht="14.25" customHeight="1">
      <c r="D276" s="13"/>
      <c r="E276" s="13"/>
      <c r="F276" s="14"/>
      <c r="P276" s="5"/>
      <c r="Q276" s="5"/>
    </row>
    <row r="277" ht="14.25" customHeight="1">
      <c r="D277" s="13"/>
      <c r="E277" s="13"/>
      <c r="F277" s="14"/>
      <c r="P277" s="5"/>
      <c r="Q277" s="5"/>
    </row>
    <row r="278" ht="14.25" customHeight="1">
      <c r="D278" s="13"/>
      <c r="E278" s="13"/>
      <c r="F278" s="14"/>
      <c r="P278" s="5"/>
      <c r="Q278" s="5"/>
    </row>
    <row r="279" ht="14.25" customHeight="1">
      <c r="D279" s="13"/>
      <c r="E279" s="13"/>
      <c r="F279" s="14"/>
      <c r="P279" s="5"/>
      <c r="Q279" s="5"/>
    </row>
    <row r="280" ht="14.25" customHeight="1">
      <c r="D280" s="13"/>
      <c r="E280" s="13"/>
      <c r="F280" s="14"/>
      <c r="P280" s="5"/>
      <c r="Q280" s="5"/>
    </row>
    <row r="281" ht="14.25" customHeight="1">
      <c r="D281" s="13"/>
      <c r="E281" s="13"/>
      <c r="F281" s="14"/>
      <c r="P281" s="5"/>
      <c r="Q281" s="5"/>
    </row>
    <row r="282" ht="14.25" customHeight="1">
      <c r="D282" s="13"/>
      <c r="E282" s="13"/>
      <c r="F282" s="14"/>
      <c r="P282" s="5"/>
      <c r="Q282" s="5"/>
    </row>
    <row r="283" ht="14.25" customHeight="1">
      <c r="D283" s="13"/>
      <c r="E283" s="13"/>
      <c r="F283" s="14"/>
      <c r="P283" s="5"/>
      <c r="Q283" s="5"/>
    </row>
    <row r="284" ht="14.25" customHeight="1">
      <c r="D284" s="13"/>
      <c r="E284" s="13"/>
      <c r="F284" s="14"/>
      <c r="P284" s="5"/>
      <c r="Q284" s="5"/>
    </row>
    <row r="285" ht="14.25" customHeight="1">
      <c r="D285" s="13"/>
      <c r="E285" s="13"/>
      <c r="F285" s="14"/>
      <c r="P285" s="5"/>
      <c r="Q285" s="5"/>
    </row>
    <row r="286" ht="14.25" customHeight="1">
      <c r="D286" s="13"/>
      <c r="E286" s="13"/>
      <c r="F286" s="14"/>
      <c r="P286" s="5"/>
      <c r="Q286" s="5"/>
    </row>
    <row r="287" ht="14.25" customHeight="1">
      <c r="D287" s="13"/>
      <c r="E287" s="13"/>
      <c r="F287" s="14"/>
      <c r="P287" s="5"/>
      <c r="Q287" s="5"/>
    </row>
    <row r="288" ht="14.25" customHeight="1">
      <c r="D288" s="13"/>
      <c r="E288" s="13"/>
      <c r="F288" s="14"/>
      <c r="P288" s="5"/>
      <c r="Q288" s="5"/>
    </row>
    <row r="289" ht="14.25" customHeight="1">
      <c r="D289" s="13"/>
      <c r="E289" s="13"/>
      <c r="F289" s="14"/>
      <c r="P289" s="5"/>
      <c r="Q289" s="5"/>
    </row>
    <row r="290" ht="14.25" customHeight="1">
      <c r="D290" s="13"/>
      <c r="E290" s="13"/>
      <c r="F290" s="14"/>
      <c r="P290" s="5"/>
      <c r="Q290" s="5"/>
    </row>
    <row r="291" ht="14.25" customHeight="1">
      <c r="D291" s="13"/>
      <c r="E291" s="13"/>
      <c r="F291" s="14"/>
      <c r="P291" s="5"/>
      <c r="Q291" s="5"/>
    </row>
    <row r="292" ht="14.25" customHeight="1">
      <c r="D292" s="13"/>
      <c r="E292" s="13"/>
      <c r="F292" s="14"/>
      <c r="P292" s="5"/>
      <c r="Q292" s="5"/>
    </row>
    <row r="293" ht="14.25" customHeight="1">
      <c r="D293" s="13"/>
      <c r="E293" s="13"/>
      <c r="F293" s="14"/>
      <c r="P293" s="5"/>
      <c r="Q293" s="5"/>
    </row>
    <row r="294" ht="14.25" customHeight="1">
      <c r="D294" s="13"/>
      <c r="E294" s="13"/>
      <c r="F294" s="14"/>
      <c r="P294" s="5"/>
      <c r="Q294" s="5"/>
    </row>
    <row r="295" ht="14.25" customHeight="1">
      <c r="D295" s="13"/>
      <c r="E295" s="13"/>
      <c r="F295" s="14"/>
      <c r="P295" s="5"/>
      <c r="Q295" s="5"/>
    </row>
    <row r="296" ht="14.25" customHeight="1">
      <c r="D296" s="13"/>
      <c r="E296" s="13"/>
      <c r="F296" s="14"/>
      <c r="P296" s="5"/>
      <c r="Q296" s="5"/>
    </row>
    <row r="297" ht="14.25" customHeight="1">
      <c r="D297" s="13"/>
      <c r="E297" s="13"/>
      <c r="F297" s="14"/>
      <c r="P297" s="5"/>
      <c r="Q297" s="5"/>
    </row>
    <row r="298" ht="14.25" customHeight="1">
      <c r="D298" s="13"/>
      <c r="E298" s="13"/>
      <c r="F298" s="14"/>
      <c r="P298" s="5"/>
      <c r="Q298" s="5"/>
    </row>
    <row r="299" ht="14.25" customHeight="1">
      <c r="D299" s="13"/>
      <c r="E299" s="13"/>
      <c r="F299" s="14"/>
      <c r="P299" s="5"/>
      <c r="Q299" s="5"/>
    </row>
    <row r="300" ht="14.25" customHeight="1">
      <c r="D300" s="13"/>
      <c r="E300" s="13"/>
      <c r="F300" s="14"/>
      <c r="P300" s="5"/>
      <c r="Q300" s="5"/>
    </row>
    <row r="301" ht="14.25" customHeight="1">
      <c r="D301" s="13"/>
      <c r="E301" s="13"/>
      <c r="F301" s="14"/>
      <c r="P301" s="5"/>
      <c r="Q301" s="5"/>
    </row>
    <row r="302" ht="14.25" customHeight="1">
      <c r="D302" s="13"/>
      <c r="E302" s="13"/>
      <c r="F302" s="14"/>
      <c r="P302" s="5"/>
      <c r="Q302" s="5"/>
    </row>
    <row r="303" ht="14.25" customHeight="1">
      <c r="D303" s="13"/>
      <c r="E303" s="13"/>
      <c r="F303" s="14"/>
      <c r="P303" s="5"/>
      <c r="Q303" s="5"/>
    </row>
    <row r="304" ht="14.25" customHeight="1">
      <c r="D304" s="13"/>
      <c r="E304" s="13"/>
      <c r="F304" s="14"/>
      <c r="P304" s="5"/>
      <c r="Q304" s="5"/>
    </row>
    <row r="305" ht="14.25" customHeight="1">
      <c r="D305" s="13"/>
      <c r="E305" s="13"/>
      <c r="F305" s="14"/>
      <c r="P305" s="5"/>
      <c r="Q305" s="5"/>
    </row>
    <row r="306" ht="14.25" customHeight="1">
      <c r="D306" s="13"/>
      <c r="E306" s="13"/>
      <c r="F306" s="14"/>
      <c r="P306" s="5"/>
      <c r="Q306" s="5"/>
    </row>
    <row r="307" ht="14.25" customHeight="1">
      <c r="D307" s="13"/>
      <c r="E307" s="13"/>
      <c r="F307" s="14"/>
      <c r="P307" s="5"/>
      <c r="Q307" s="5"/>
    </row>
    <row r="308" ht="14.25" customHeight="1">
      <c r="D308" s="13"/>
      <c r="E308" s="13"/>
      <c r="F308" s="14"/>
      <c r="P308" s="5"/>
      <c r="Q308" s="5"/>
    </row>
    <row r="309" ht="14.25" customHeight="1">
      <c r="D309" s="13"/>
      <c r="E309" s="13"/>
      <c r="F309" s="14"/>
      <c r="P309" s="5"/>
      <c r="Q309" s="5"/>
    </row>
    <row r="310" ht="14.25" customHeight="1">
      <c r="D310" s="13"/>
      <c r="E310" s="13"/>
      <c r="F310" s="14"/>
      <c r="P310" s="5"/>
      <c r="Q310" s="5"/>
    </row>
    <row r="311" ht="14.25" customHeight="1">
      <c r="D311" s="13"/>
      <c r="E311" s="13"/>
      <c r="F311" s="14"/>
      <c r="P311" s="5"/>
      <c r="Q311" s="5"/>
    </row>
    <row r="312" ht="14.25" customHeight="1">
      <c r="D312" s="13"/>
      <c r="E312" s="13"/>
      <c r="F312" s="14"/>
      <c r="P312" s="5"/>
      <c r="Q312" s="5"/>
    </row>
    <row r="313" ht="14.25" customHeight="1">
      <c r="D313" s="13"/>
      <c r="E313" s="13"/>
      <c r="F313" s="14"/>
      <c r="P313" s="5"/>
      <c r="Q313" s="5"/>
    </row>
    <row r="314" ht="14.25" customHeight="1">
      <c r="D314" s="13"/>
      <c r="E314" s="13"/>
      <c r="F314" s="14"/>
      <c r="P314" s="5"/>
      <c r="Q314" s="5"/>
    </row>
    <row r="315" ht="14.25" customHeight="1">
      <c r="D315" s="13"/>
      <c r="E315" s="13"/>
      <c r="F315" s="14"/>
      <c r="P315" s="5"/>
      <c r="Q315" s="5"/>
    </row>
    <row r="316" ht="14.25" customHeight="1">
      <c r="D316" s="13"/>
      <c r="E316" s="13"/>
      <c r="F316" s="14"/>
      <c r="P316" s="5"/>
      <c r="Q316" s="5"/>
    </row>
    <row r="317" ht="14.25" customHeight="1">
      <c r="D317" s="13"/>
      <c r="E317" s="13"/>
      <c r="F317" s="14"/>
      <c r="P317" s="5"/>
      <c r="Q317" s="5"/>
    </row>
    <row r="318" ht="14.25" customHeight="1">
      <c r="D318" s="13"/>
      <c r="E318" s="13"/>
      <c r="F318" s="14"/>
      <c r="P318" s="5"/>
      <c r="Q318" s="5"/>
    </row>
    <row r="319" ht="14.25" customHeight="1">
      <c r="D319" s="13"/>
      <c r="E319" s="13"/>
      <c r="F319" s="14"/>
      <c r="P319" s="5"/>
      <c r="Q319" s="5"/>
    </row>
    <row r="320" ht="14.25" customHeight="1">
      <c r="D320" s="13"/>
      <c r="E320" s="13"/>
      <c r="F320" s="14"/>
      <c r="P320" s="5"/>
      <c r="Q320" s="5"/>
    </row>
    <row r="321" ht="14.25" customHeight="1">
      <c r="D321" s="13"/>
      <c r="E321" s="13"/>
      <c r="F321" s="14"/>
      <c r="P321" s="5"/>
      <c r="Q321" s="5"/>
    </row>
    <row r="322" ht="14.25" customHeight="1">
      <c r="D322" s="13"/>
      <c r="E322" s="13"/>
      <c r="F322" s="14"/>
      <c r="P322" s="5"/>
      <c r="Q322" s="5"/>
    </row>
    <row r="323" ht="14.25" customHeight="1">
      <c r="D323" s="13"/>
      <c r="E323" s="13"/>
      <c r="F323" s="14"/>
      <c r="P323" s="5"/>
      <c r="Q323" s="5"/>
    </row>
    <row r="324" ht="14.25" customHeight="1">
      <c r="D324" s="13"/>
      <c r="E324" s="13"/>
      <c r="F324" s="14"/>
      <c r="P324" s="5"/>
      <c r="Q324" s="5"/>
    </row>
    <row r="325" ht="14.25" customHeight="1">
      <c r="D325" s="13"/>
      <c r="E325" s="13"/>
      <c r="F325" s="14"/>
      <c r="P325" s="5"/>
      <c r="Q325" s="5"/>
    </row>
    <row r="326" ht="14.25" customHeight="1">
      <c r="D326" s="13"/>
      <c r="E326" s="13"/>
      <c r="F326" s="14"/>
      <c r="P326" s="5"/>
      <c r="Q326" s="5"/>
    </row>
    <row r="327" ht="14.25" customHeight="1">
      <c r="D327" s="13"/>
      <c r="E327" s="13"/>
      <c r="F327" s="14"/>
      <c r="P327" s="5"/>
      <c r="Q327" s="5"/>
    </row>
    <row r="328" ht="14.25" customHeight="1">
      <c r="D328" s="13"/>
      <c r="E328" s="13"/>
      <c r="F328" s="14"/>
      <c r="P328" s="5"/>
      <c r="Q328" s="5"/>
    </row>
    <row r="329" ht="14.25" customHeight="1">
      <c r="D329" s="13"/>
      <c r="E329" s="13"/>
      <c r="F329" s="14"/>
      <c r="P329" s="5"/>
      <c r="Q329" s="5"/>
    </row>
    <row r="330" ht="14.25" customHeight="1">
      <c r="D330" s="13"/>
      <c r="E330" s="13"/>
      <c r="F330" s="14"/>
      <c r="P330" s="5"/>
      <c r="Q330" s="5"/>
    </row>
    <row r="331" ht="14.25" customHeight="1">
      <c r="D331" s="13"/>
      <c r="E331" s="13"/>
      <c r="F331" s="14"/>
      <c r="P331" s="5"/>
      <c r="Q331" s="5"/>
    </row>
    <row r="332" ht="14.25" customHeight="1">
      <c r="D332" s="13"/>
      <c r="E332" s="13"/>
      <c r="F332" s="14"/>
      <c r="P332" s="5"/>
      <c r="Q332" s="5"/>
    </row>
    <row r="333" ht="14.25" customHeight="1">
      <c r="D333" s="13"/>
      <c r="E333" s="13"/>
      <c r="F333" s="14"/>
      <c r="P333" s="5"/>
      <c r="Q333" s="5"/>
    </row>
    <row r="334" ht="14.25" customHeight="1">
      <c r="D334" s="13"/>
      <c r="E334" s="13"/>
      <c r="F334" s="14"/>
      <c r="P334" s="5"/>
      <c r="Q334" s="5"/>
    </row>
    <row r="335" ht="14.25" customHeight="1">
      <c r="D335" s="13"/>
      <c r="E335" s="13"/>
      <c r="F335" s="14"/>
      <c r="P335" s="5"/>
      <c r="Q335" s="5"/>
    </row>
    <row r="336" ht="14.25" customHeight="1">
      <c r="D336" s="13"/>
      <c r="E336" s="13"/>
      <c r="F336" s="14"/>
      <c r="P336" s="5"/>
      <c r="Q336" s="5"/>
    </row>
    <row r="337" ht="14.25" customHeight="1">
      <c r="D337" s="13"/>
      <c r="E337" s="13"/>
      <c r="F337" s="14"/>
      <c r="P337" s="5"/>
      <c r="Q337" s="5"/>
    </row>
    <row r="338" ht="14.25" customHeight="1">
      <c r="D338" s="13"/>
      <c r="E338" s="13"/>
      <c r="F338" s="14"/>
      <c r="P338" s="5"/>
      <c r="Q338" s="5"/>
    </row>
    <row r="339" ht="14.25" customHeight="1">
      <c r="D339" s="13"/>
      <c r="E339" s="13"/>
      <c r="F339" s="14"/>
      <c r="P339" s="5"/>
      <c r="Q339" s="5"/>
    </row>
    <row r="340" ht="14.25" customHeight="1">
      <c r="D340" s="13"/>
      <c r="E340" s="13"/>
      <c r="F340" s="14"/>
      <c r="P340" s="5"/>
      <c r="Q340" s="5"/>
    </row>
    <row r="341" ht="14.25" customHeight="1">
      <c r="D341" s="13"/>
      <c r="E341" s="13"/>
      <c r="F341" s="14"/>
      <c r="P341" s="5"/>
      <c r="Q341" s="5"/>
    </row>
    <row r="342" ht="14.25" customHeight="1">
      <c r="D342" s="13"/>
      <c r="E342" s="13"/>
      <c r="F342" s="14"/>
      <c r="P342" s="5"/>
      <c r="Q342" s="5"/>
    </row>
    <row r="343" ht="14.25" customHeight="1">
      <c r="D343" s="13"/>
      <c r="E343" s="13"/>
      <c r="F343" s="14"/>
      <c r="P343" s="5"/>
      <c r="Q343" s="5"/>
    </row>
    <row r="344" ht="14.25" customHeight="1">
      <c r="D344" s="13"/>
      <c r="E344" s="13"/>
      <c r="F344" s="14"/>
      <c r="P344" s="5"/>
      <c r="Q344" s="5"/>
    </row>
    <row r="345" ht="14.25" customHeight="1">
      <c r="D345" s="13"/>
      <c r="E345" s="13"/>
      <c r="F345" s="14"/>
      <c r="P345" s="5"/>
      <c r="Q345" s="5"/>
    </row>
    <row r="346" ht="14.25" customHeight="1">
      <c r="D346" s="13"/>
      <c r="E346" s="13"/>
      <c r="F346" s="14"/>
      <c r="P346" s="5"/>
      <c r="Q346" s="5"/>
    </row>
    <row r="347" ht="14.25" customHeight="1">
      <c r="D347" s="13"/>
      <c r="E347" s="13"/>
      <c r="F347" s="14"/>
      <c r="P347" s="5"/>
      <c r="Q347" s="5"/>
    </row>
    <row r="348" ht="14.25" customHeight="1">
      <c r="D348" s="13"/>
      <c r="E348" s="13"/>
      <c r="F348" s="14"/>
      <c r="P348" s="5"/>
      <c r="Q348" s="5"/>
    </row>
    <row r="349" ht="14.25" customHeight="1">
      <c r="D349" s="13"/>
      <c r="E349" s="13"/>
      <c r="F349" s="14"/>
      <c r="P349" s="5"/>
      <c r="Q349" s="5"/>
    </row>
    <row r="350" ht="14.25" customHeight="1">
      <c r="D350" s="13"/>
      <c r="E350" s="13"/>
      <c r="F350" s="14"/>
      <c r="P350" s="5"/>
      <c r="Q350" s="5"/>
    </row>
    <row r="351" ht="14.25" customHeight="1">
      <c r="D351" s="13"/>
      <c r="E351" s="13"/>
      <c r="F351" s="14"/>
      <c r="P351" s="5"/>
      <c r="Q351" s="5"/>
    </row>
    <row r="352" ht="14.25" customHeight="1">
      <c r="D352" s="13"/>
      <c r="E352" s="13"/>
      <c r="F352" s="14"/>
      <c r="P352" s="5"/>
      <c r="Q352" s="5"/>
    </row>
    <row r="353" ht="14.25" customHeight="1">
      <c r="D353" s="13"/>
      <c r="E353" s="13"/>
      <c r="F353" s="14"/>
      <c r="P353" s="5"/>
      <c r="Q353" s="5"/>
    </row>
    <row r="354" ht="14.25" customHeight="1">
      <c r="D354" s="13"/>
      <c r="E354" s="13"/>
      <c r="F354" s="14"/>
      <c r="P354" s="5"/>
      <c r="Q354" s="5"/>
    </row>
    <row r="355" ht="14.25" customHeight="1">
      <c r="D355" s="13"/>
      <c r="E355" s="13"/>
      <c r="F355" s="14"/>
      <c r="P355" s="5"/>
      <c r="Q355" s="5"/>
    </row>
    <row r="356" ht="14.25" customHeight="1">
      <c r="D356" s="13"/>
      <c r="E356" s="13"/>
      <c r="F356" s="14"/>
      <c r="P356" s="5"/>
      <c r="Q356" s="5"/>
    </row>
    <row r="357" ht="14.25" customHeight="1">
      <c r="D357" s="13"/>
      <c r="E357" s="13"/>
      <c r="F357" s="14"/>
      <c r="P357" s="5"/>
      <c r="Q357" s="5"/>
    </row>
    <row r="358" ht="14.25" customHeight="1">
      <c r="D358" s="13"/>
      <c r="E358" s="13"/>
      <c r="F358" s="14"/>
      <c r="P358" s="5"/>
      <c r="Q358" s="5"/>
    </row>
    <row r="359" ht="14.25" customHeight="1">
      <c r="D359" s="13"/>
      <c r="E359" s="13"/>
      <c r="F359" s="14"/>
      <c r="P359" s="5"/>
      <c r="Q359" s="5"/>
    </row>
    <row r="360" ht="14.25" customHeight="1">
      <c r="D360" s="13"/>
      <c r="E360" s="13"/>
      <c r="F360" s="14"/>
      <c r="P360" s="5"/>
      <c r="Q360" s="5"/>
    </row>
    <row r="361" ht="14.25" customHeight="1">
      <c r="D361" s="13"/>
      <c r="E361" s="13"/>
      <c r="F361" s="14"/>
      <c r="P361" s="5"/>
      <c r="Q361" s="5"/>
    </row>
    <row r="362" ht="14.25" customHeight="1">
      <c r="D362" s="13"/>
      <c r="E362" s="13"/>
      <c r="F362" s="14"/>
      <c r="P362" s="5"/>
      <c r="Q362" s="5"/>
    </row>
    <row r="363" ht="14.25" customHeight="1">
      <c r="D363" s="13"/>
      <c r="E363" s="13"/>
      <c r="F363" s="14"/>
      <c r="P363" s="5"/>
      <c r="Q363" s="5"/>
    </row>
    <row r="364" ht="14.25" customHeight="1">
      <c r="D364" s="13"/>
      <c r="E364" s="13"/>
      <c r="F364" s="14"/>
      <c r="P364" s="5"/>
      <c r="Q364" s="5"/>
    </row>
    <row r="365" ht="14.25" customHeight="1">
      <c r="D365" s="13"/>
      <c r="E365" s="13"/>
      <c r="F365" s="14"/>
      <c r="P365" s="5"/>
      <c r="Q365" s="5"/>
    </row>
    <row r="366" ht="14.25" customHeight="1">
      <c r="D366" s="13"/>
      <c r="E366" s="13"/>
      <c r="F366" s="14"/>
      <c r="P366" s="5"/>
      <c r="Q366" s="5"/>
    </row>
    <row r="367" ht="14.25" customHeight="1">
      <c r="D367" s="13"/>
      <c r="E367" s="13"/>
      <c r="F367" s="14"/>
      <c r="P367" s="5"/>
      <c r="Q367" s="5"/>
    </row>
    <row r="368" ht="14.25" customHeight="1">
      <c r="D368" s="13"/>
      <c r="E368" s="13"/>
      <c r="F368" s="14"/>
      <c r="P368" s="5"/>
      <c r="Q368" s="5"/>
    </row>
    <row r="369" ht="14.25" customHeight="1">
      <c r="D369" s="13"/>
      <c r="E369" s="13"/>
      <c r="F369" s="14"/>
      <c r="P369" s="5"/>
      <c r="Q369" s="5"/>
    </row>
    <row r="370" ht="14.25" customHeight="1">
      <c r="D370" s="13"/>
      <c r="E370" s="13"/>
      <c r="F370" s="14"/>
      <c r="P370" s="5"/>
      <c r="Q370" s="5"/>
    </row>
    <row r="371" ht="14.25" customHeight="1">
      <c r="D371" s="13"/>
      <c r="E371" s="13"/>
      <c r="F371" s="14"/>
      <c r="P371" s="5"/>
      <c r="Q371" s="5"/>
    </row>
    <row r="372" ht="14.25" customHeight="1">
      <c r="D372" s="13"/>
      <c r="E372" s="13"/>
      <c r="F372" s="14"/>
      <c r="P372" s="5"/>
      <c r="Q372" s="5"/>
    </row>
    <row r="373" ht="14.25" customHeight="1">
      <c r="D373" s="13"/>
      <c r="E373" s="13"/>
      <c r="F373" s="14"/>
      <c r="P373" s="5"/>
      <c r="Q373" s="5"/>
    </row>
    <row r="374" ht="14.25" customHeight="1">
      <c r="D374" s="13"/>
      <c r="E374" s="13"/>
      <c r="F374" s="14"/>
      <c r="P374" s="5"/>
      <c r="Q374" s="5"/>
    </row>
    <row r="375" ht="14.25" customHeight="1">
      <c r="D375" s="13"/>
      <c r="E375" s="13"/>
      <c r="F375" s="14"/>
      <c r="P375" s="5"/>
      <c r="Q375" s="5"/>
    </row>
    <row r="376" ht="14.25" customHeight="1">
      <c r="D376" s="13"/>
      <c r="E376" s="13"/>
      <c r="F376" s="14"/>
      <c r="P376" s="5"/>
      <c r="Q376" s="5"/>
    </row>
    <row r="377" ht="14.25" customHeight="1">
      <c r="D377" s="13"/>
      <c r="E377" s="13"/>
      <c r="F377" s="14"/>
      <c r="P377" s="5"/>
      <c r="Q377" s="5"/>
    </row>
    <row r="378" ht="14.25" customHeight="1">
      <c r="D378" s="13"/>
      <c r="E378" s="13"/>
      <c r="F378" s="14"/>
      <c r="P378" s="5"/>
      <c r="Q378" s="5"/>
    </row>
    <row r="379" ht="14.25" customHeight="1">
      <c r="D379" s="13"/>
      <c r="E379" s="13"/>
      <c r="F379" s="14"/>
      <c r="P379" s="5"/>
      <c r="Q379" s="5"/>
    </row>
    <row r="380" ht="14.25" customHeight="1">
      <c r="D380" s="13"/>
      <c r="E380" s="13"/>
      <c r="F380" s="14"/>
      <c r="P380" s="5"/>
      <c r="Q380" s="5"/>
    </row>
    <row r="381" ht="14.25" customHeight="1">
      <c r="D381" s="13"/>
      <c r="E381" s="13"/>
      <c r="F381" s="14"/>
      <c r="P381" s="5"/>
      <c r="Q381" s="5"/>
    </row>
    <row r="382" ht="14.25" customHeight="1">
      <c r="D382" s="13"/>
      <c r="E382" s="13"/>
      <c r="F382" s="14"/>
      <c r="P382" s="5"/>
      <c r="Q382" s="5"/>
    </row>
    <row r="383" ht="14.25" customHeight="1">
      <c r="D383" s="13"/>
      <c r="E383" s="13"/>
      <c r="F383" s="14"/>
      <c r="P383" s="5"/>
      <c r="Q383" s="5"/>
    </row>
    <row r="384" ht="14.25" customHeight="1">
      <c r="D384" s="13"/>
      <c r="E384" s="13"/>
      <c r="F384" s="14"/>
      <c r="P384" s="5"/>
      <c r="Q384" s="5"/>
    </row>
    <row r="385" ht="14.25" customHeight="1">
      <c r="D385" s="13"/>
      <c r="E385" s="13"/>
      <c r="F385" s="14"/>
      <c r="P385" s="5"/>
      <c r="Q385" s="5"/>
    </row>
    <row r="386" ht="14.25" customHeight="1">
      <c r="D386" s="13"/>
      <c r="E386" s="13"/>
      <c r="F386" s="14"/>
      <c r="P386" s="5"/>
      <c r="Q386" s="5"/>
    </row>
    <row r="387" ht="14.25" customHeight="1">
      <c r="D387" s="13"/>
      <c r="E387" s="13"/>
      <c r="F387" s="14"/>
      <c r="P387" s="5"/>
      <c r="Q387" s="5"/>
    </row>
    <row r="388" ht="14.25" customHeight="1">
      <c r="D388" s="13"/>
      <c r="E388" s="13"/>
      <c r="F388" s="14"/>
      <c r="P388" s="5"/>
      <c r="Q388" s="5"/>
    </row>
    <row r="389" ht="14.25" customHeight="1">
      <c r="D389" s="13"/>
      <c r="E389" s="13"/>
      <c r="F389" s="14"/>
      <c r="P389" s="5"/>
      <c r="Q389" s="5"/>
    </row>
    <row r="390" ht="14.25" customHeight="1">
      <c r="D390" s="13"/>
      <c r="E390" s="13"/>
      <c r="F390" s="14"/>
      <c r="P390" s="5"/>
      <c r="Q390" s="5"/>
    </row>
    <row r="391" ht="14.25" customHeight="1">
      <c r="D391" s="13"/>
      <c r="E391" s="13"/>
      <c r="F391" s="14"/>
      <c r="P391" s="5"/>
      <c r="Q391" s="5"/>
    </row>
    <row r="392" ht="14.25" customHeight="1">
      <c r="D392" s="13"/>
      <c r="E392" s="13"/>
      <c r="F392" s="14"/>
      <c r="P392" s="5"/>
      <c r="Q392" s="5"/>
    </row>
    <row r="393" ht="14.25" customHeight="1">
      <c r="D393" s="13"/>
      <c r="E393" s="13"/>
      <c r="F393" s="14"/>
      <c r="P393" s="5"/>
      <c r="Q393" s="5"/>
    </row>
    <row r="394" ht="14.25" customHeight="1">
      <c r="D394" s="13"/>
      <c r="E394" s="13"/>
      <c r="F394" s="14"/>
      <c r="P394" s="5"/>
      <c r="Q394" s="5"/>
    </row>
    <row r="395" ht="14.25" customHeight="1">
      <c r="D395" s="13"/>
      <c r="E395" s="13"/>
      <c r="F395" s="14"/>
      <c r="P395" s="5"/>
      <c r="Q395" s="5"/>
    </row>
    <row r="396" ht="14.25" customHeight="1">
      <c r="D396" s="13"/>
      <c r="E396" s="13"/>
      <c r="F396" s="14"/>
      <c r="P396" s="5"/>
      <c r="Q396" s="5"/>
    </row>
    <row r="397" ht="14.25" customHeight="1">
      <c r="D397" s="13"/>
      <c r="E397" s="13"/>
      <c r="F397" s="14"/>
      <c r="P397" s="5"/>
      <c r="Q397" s="5"/>
    </row>
    <row r="398" ht="14.25" customHeight="1">
      <c r="D398" s="13"/>
      <c r="E398" s="13"/>
      <c r="F398" s="14"/>
      <c r="P398" s="5"/>
      <c r="Q398" s="5"/>
    </row>
    <row r="399" ht="14.25" customHeight="1">
      <c r="D399" s="13"/>
      <c r="E399" s="13"/>
      <c r="F399" s="14"/>
      <c r="P399" s="5"/>
      <c r="Q399" s="5"/>
    </row>
    <row r="400" ht="14.25" customHeight="1">
      <c r="D400" s="13"/>
      <c r="E400" s="13"/>
      <c r="F400" s="14"/>
      <c r="P400" s="5"/>
      <c r="Q400" s="5"/>
    </row>
    <row r="401" ht="14.25" customHeight="1">
      <c r="D401" s="13"/>
      <c r="E401" s="13"/>
      <c r="F401" s="14"/>
      <c r="P401" s="5"/>
      <c r="Q401" s="5"/>
    </row>
    <row r="402" ht="14.25" customHeight="1">
      <c r="D402" s="13"/>
      <c r="E402" s="13"/>
      <c r="F402" s="14"/>
      <c r="P402" s="5"/>
      <c r="Q402" s="5"/>
    </row>
    <row r="403" ht="14.25" customHeight="1">
      <c r="D403" s="13"/>
      <c r="E403" s="13"/>
      <c r="F403" s="14"/>
      <c r="P403" s="5"/>
      <c r="Q403" s="5"/>
    </row>
    <row r="404" ht="14.25" customHeight="1">
      <c r="D404" s="13"/>
      <c r="E404" s="13"/>
      <c r="F404" s="14"/>
      <c r="P404" s="5"/>
      <c r="Q404" s="5"/>
    </row>
    <row r="405" ht="14.25" customHeight="1">
      <c r="D405" s="13"/>
      <c r="E405" s="13"/>
      <c r="F405" s="14"/>
      <c r="P405" s="5"/>
      <c r="Q405" s="5"/>
    </row>
    <row r="406" ht="14.25" customHeight="1">
      <c r="D406" s="13"/>
      <c r="E406" s="13"/>
      <c r="F406" s="14"/>
      <c r="P406" s="5"/>
      <c r="Q406" s="5"/>
    </row>
    <row r="407" ht="14.25" customHeight="1">
      <c r="D407" s="13"/>
      <c r="E407" s="13"/>
      <c r="F407" s="14"/>
      <c r="P407" s="5"/>
      <c r="Q407" s="5"/>
    </row>
    <row r="408" ht="14.25" customHeight="1">
      <c r="D408" s="13"/>
      <c r="E408" s="13"/>
      <c r="F408" s="14"/>
      <c r="P408" s="5"/>
      <c r="Q408" s="5"/>
    </row>
    <row r="409" ht="14.25" customHeight="1">
      <c r="D409" s="13"/>
      <c r="E409" s="13"/>
      <c r="F409" s="14"/>
      <c r="P409" s="5"/>
      <c r="Q409" s="5"/>
    </row>
    <row r="410" ht="14.25" customHeight="1">
      <c r="D410" s="13"/>
      <c r="E410" s="13"/>
      <c r="F410" s="14"/>
      <c r="P410" s="5"/>
      <c r="Q410" s="5"/>
    </row>
    <row r="411" ht="14.25" customHeight="1">
      <c r="D411" s="13"/>
      <c r="E411" s="13"/>
      <c r="F411" s="14"/>
      <c r="P411" s="5"/>
      <c r="Q411" s="5"/>
    </row>
    <row r="412" ht="14.25" customHeight="1">
      <c r="D412" s="13"/>
      <c r="E412" s="13"/>
      <c r="F412" s="14"/>
      <c r="P412" s="5"/>
      <c r="Q412" s="5"/>
    </row>
    <row r="413" ht="14.25" customHeight="1">
      <c r="D413" s="13"/>
      <c r="E413" s="13"/>
      <c r="F413" s="14"/>
      <c r="P413" s="5"/>
      <c r="Q413" s="5"/>
    </row>
    <row r="414" ht="14.25" customHeight="1">
      <c r="D414" s="13"/>
      <c r="E414" s="13"/>
      <c r="F414" s="14"/>
      <c r="P414" s="5"/>
      <c r="Q414" s="5"/>
    </row>
    <row r="415" ht="14.25" customHeight="1">
      <c r="D415" s="13"/>
      <c r="E415" s="13"/>
      <c r="F415" s="14"/>
      <c r="P415" s="5"/>
      <c r="Q415" s="5"/>
    </row>
    <row r="416" ht="14.25" customHeight="1">
      <c r="D416" s="13"/>
      <c r="E416" s="13"/>
      <c r="F416" s="14"/>
      <c r="P416" s="5"/>
      <c r="Q416" s="5"/>
    </row>
    <row r="417" ht="14.25" customHeight="1">
      <c r="D417" s="13"/>
      <c r="E417" s="13"/>
      <c r="F417" s="14"/>
      <c r="P417" s="5"/>
      <c r="Q417" s="5"/>
    </row>
    <row r="418" ht="14.25" customHeight="1">
      <c r="D418" s="13"/>
      <c r="E418" s="13"/>
      <c r="F418" s="14"/>
      <c r="P418" s="5"/>
      <c r="Q418" s="5"/>
    </row>
    <row r="419" ht="14.25" customHeight="1">
      <c r="D419" s="13"/>
      <c r="E419" s="13"/>
      <c r="F419" s="14"/>
      <c r="P419" s="5"/>
      <c r="Q419" s="5"/>
    </row>
    <row r="420" ht="14.25" customHeight="1">
      <c r="D420" s="13"/>
      <c r="E420" s="13"/>
      <c r="F420" s="14"/>
      <c r="P420" s="5"/>
      <c r="Q420" s="5"/>
    </row>
    <row r="421" ht="14.25" customHeight="1">
      <c r="D421" s="13"/>
      <c r="E421" s="13"/>
      <c r="F421" s="14"/>
      <c r="P421" s="5"/>
      <c r="Q421" s="5"/>
    </row>
    <row r="422" ht="14.25" customHeight="1">
      <c r="D422" s="13"/>
      <c r="E422" s="13"/>
      <c r="F422" s="14"/>
      <c r="P422" s="5"/>
      <c r="Q422" s="5"/>
    </row>
    <row r="423" ht="14.25" customHeight="1">
      <c r="D423" s="13"/>
      <c r="E423" s="13"/>
      <c r="F423" s="14"/>
      <c r="P423" s="5"/>
      <c r="Q423" s="5"/>
    </row>
    <row r="424" ht="14.25" customHeight="1">
      <c r="D424" s="13"/>
      <c r="E424" s="13"/>
      <c r="F424" s="14"/>
      <c r="P424" s="5"/>
      <c r="Q424" s="5"/>
    </row>
    <row r="425" ht="14.25" customHeight="1">
      <c r="D425" s="13"/>
      <c r="E425" s="13"/>
      <c r="F425" s="14"/>
      <c r="P425" s="5"/>
      <c r="Q425" s="5"/>
    </row>
    <row r="426" ht="14.25" customHeight="1">
      <c r="D426" s="13"/>
      <c r="E426" s="13"/>
      <c r="F426" s="14"/>
      <c r="P426" s="5"/>
      <c r="Q426" s="5"/>
    </row>
    <row r="427" ht="14.25" customHeight="1">
      <c r="D427" s="13"/>
      <c r="E427" s="13"/>
      <c r="F427" s="14"/>
      <c r="P427" s="5"/>
      <c r="Q427" s="5"/>
    </row>
    <row r="428" ht="14.25" customHeight="1">
      <c r="D428" s="13"/>
      <c r="E428" s="13"/>
      <c r="F428" s="14"/>
      <c r="P428" s="5"/>
      <c r="Q428" s="5"/>
    </row>
    <row r="429" ht="14.25" customHeight="1">
      <c r="D429" s="13"/>
      <c r="E429" s="13"/>
      <c r="F429" s="14"/>
      <c r="P429" s="5"/>
      <c r="Q429" s="5"/>
    </row>
    <row r="430" ht="14.25" customHeight="1">
      <c r="D430" s="13"/>
      <c r="E430" s="13"/>
      <c r="F430" s="14"/>
      <c r="P430" s="5"/>
      <c r="Q430" s="5"/>
    </row>
    <row r="431" ht="14.25" customHeight="1">
      <c r="D431" s="13"/>
      <c r="E431" s="13"/>
      <c r="F431" s="14"/>
      <c r="P431" s="5"/>
      <c r="Q431" s="5"/>
    </row>
    <row r="432" ht="14.25" customHeight="1">
      <c r="D432" s="13"/>
      <c r="E432" s="13"/>
      <c r="F432" s="14"/>
      <c r="P432" s="5"/>
      <c r="Q432" s="5"/>
    </row>
    <row r="433" ht="14.25" customHeight="1">
      <c r="D433" s="13"/>
      <c r="E433" s="13"/>
      <c r="F433" s="14"/>
      <c r="P433" s="5"/>
      <c r="Q433" s="5"/>
    </row>
    <row r="434" ht="14.25" customHeight="1">
      <c r="D434" s="13"/>
      <c r="E434" s="13"/>
      <c r="F434" s="14"/>
      <c r="P434" s="5"/>
      <c r="Q434" s="5"/>
    </row>
    <row r="435" ht="14.25" customHeight="1">
      <c r="D435" s="13"/>
      <c r="E435" s="13"/>
      <c r="F435" s="14"/>
      <c r="P435" s="5"/>
      <c r="Q435" s="5"/>
    </row>
    <row r="436" ht="14.25" customHeight="1">
      <c r="D436" s="13"/>
      <c r="E436" s="13"/>
      <c r="F436" s="14"/>
      <c r="P436" s="5"/>
      <c r="Q436" s="5"/>
    </row>
    <row r="437" ht="14.25" customHeight="1">
      <c r="D437" s="13"/>
      <c r="E437" s="13"/>
      <c r="F437" s="14"/>
      <c r="P437" s="5"/>
      <c r="Q437" s="5"/>
    </row>
    <row r="438" ht="14.25" customHeight="1">
      <c r="D438" s="13"/>
      <c r="E438" s="13"/>
      <c r="F438" s="14"/>
      <c r="P438" s="5"/>
      <c r="Q438" s="5"/>
    </row>
    <row r="439" ht="14.25" customHeight="1">
      <c r="D439" s="13"/>
      <c r="E439" s="13"/>
      <c r="F439" s="14"/>
      <c r="P439" s="5"/>
      <c r="Q439" s="5"/>
    </row>
    <row r="440" ht="14.25" customHeight="1">
      <c r="D440" s="13"/>
      <c r="E440" s="13"/>
      <c r="F440" s="14"/>
      <c r="P440" s="5"/>
      <c r="Q440" s="5"/>
    </row>
    <row r="441" ht="14.25" customHeight="1">
      <c r="D441" s="13"/>
      <c r="E441" s="13"/>
      <c r="F441" s="14"/>
      <c r="P441" s="5"/>
      <c r="Q441" s="5"/>
    </row>
    <row r="442" ht="14.25" customHeight="1">
      <c r="D442" s="13"/>
      <c r="E442" s="13"/>
      <c r="F442" s="14"/>
      <c r="P442" s="5"/>
      <c r="Q442" s="5"/>
    </row>
    <row r="443" ht="14.25" customHeight="1">
      <c r="D443" s="13"/>
      <c r="E443" s="13"/>
      <c r="F443" s="14"/>
      <c r="P443" s="5"/>
      <c r="Q443" s="5"/>
    </row>
    <row r="444" ht="14.25" customHeight="1">
      <c r="D444" s="13"/>
      <c r="E444" s="13"/>
      <c r="F444" s="14"/>
      <c r="P444" s="5"/>
      <c r="Q444" s="5"/>
    </row>
    <row r="445" ht="14.25" customHeight="1">
      <c r="D445" s="13"/>
      <c r="E445" s="13"/>
      <c r="F445" s="14"/>
      <c r="P445" s="5"/>
      <c r="Q445" s="5"/>
    </row>
    <row r="446" ht="14.25" customHeight="1">
      <c r="D446" s="13"/>
      <c r="E446" s="13"/>
      <c r="F446" s="14"/>
      <c r="P446" s="5"/>
      <c r="Q446" s="5"/>
    </row>
    <row r="447" ht="14.25" customHeight="1">
      <c r="D447" s="13"/>
      <c r="E447" s="13"/>
      <c r="F447" s="14"/>
      <c r="P447" s="5"/>
      <c r="Q447" s="5"/>
    </row>
    <row r="448" ht="14.25" customHeight="1">
      <c r="D448" s="13"/>
      <c r="E448" s="13"/>
      <c r="F448" s="14"/>
      <c r="P448" s="5"/>
      <c r="Q448" s="5"/>
    </row>
    <row r="449" ht="14.25" customHeight="1">
      <c r="D449" s="13"/>
      <c r="E449" s="13"/>
      <c r="F449" s="14"/>
      <c r="P449" s="5"/>
      <c r="Q449" s="5"/>
    </row>
    <row r="450" ht="14.25" customHeight="1">
      <c r="D450" s="13"/>
      <c r="E450" s="13"/>
      <c r="F450" s="14"/>
      <c r="P450" s="5"/>
      <c r="Q450" s="5"/>
    </row>
    <row r="451" ht="14.25" customHeight="1">
      <c r="D451" s="13"/>
      <c r="E451" s="13"/>
      <c r="F451" s="14"/>
      <c r="P451" s="5"/>
      <c r="Q451" s="5"/>
    </row>
    <row r="452" ht="14.25" customHeight="1">
      <c r="D452" s="13"/>
      <c r="E452" s="13"/>
      <c r="F452" s="14"/>
      <c r="P452" s="5"/>
      <c r="Q452" s="5"/>
    </row>
    <row r="453" ht="14.25" customHeight="1">
      <c r="D453" s="13"/>
      <c r="E453" s="13"/>
      <c r="F453" s="14"/>
      <c r="P453" s="5"/>
      <c r="Q453" s="5"/>
    </row>
    <row r="454" ht="14.25" customHeight="1">
      <c r="D454" s="13"/>
      <c r="E454" s="13"/>
      <c r="F454" s="14"/>
      <c r="P454" s="5"/>
      <c r="Q454" s="5"/>
    </row>
    <row r="455" ht="14.25" customHeight="1">
      <c r="D455" s="13"/>
      <c r="E455" s="13"/>
      <c r="F455" s="14"/>
      <c r="P455" s="5"/>
      <c r="Q455" s="5"/>
    </row>
    <row r="456" ht="14.25" customHeight="1">
      <c r="D456" s="13"/>
      <c r="E456" s="13"/>
      <c r="F456" s="14"/>
      <c r="P456" s="5"/>
      <c r="Q456" s="5"/>
    </row>
    <row r="457" ht="14.25" customHeight="1">
      <c r="D457" s="13"/>
      <c r="E457" s="13"/>
      <c r="F457" s="14"/>
      <c r="P457" s="5"/>
      <c r="Q457" s="5"/>
    </row>
    <row r="458" ht="14.25" customHeight="1">
      <c r="D458" s="13"/>
      <c r="E458" s="13"/>
      <c r="F458" s="14"/>
      <c r="P458" s="5"/>
      <c r="Q458" s="5"/>
    </row>
    <row r="459" ht="14.25" customHeight="1">
      <c r="D459" s="13"/>
      <c r="E459" s="13"/>
      <c r="F459" s="14"/>
      <c r="P459" s="5"/>
      <c r="Q459" s="5"/>
    </row>
    <row r="460" ht="14.25" customHeight="1">
      <c r="D460" s="13"/>
      <c r="E460" s="13"/>
      <c r="F460" s="14"/>
      <c r="P460" s="5"/>
      <c r="Q460" s="5"/>
    </row>
    <row r="461" ht="14.25" customHeight="1">
      <c r="D461" s="13"/>
      <c r="E461" s="13"/>
      <c r="F461" s="14"/>
      <c r="P461" s="5"/>
      <c r="Q461" s="5"/>
    </row>
    <row r="462" ht="14.25" customHeight="1">
      <c r="D462" s="13"/>
      <c r="E462" s="13"/>
      <c r="F462" s="14"/>
      <c r="P462" s="5"/>
      <c r="Q462" s="5"/>
    </row>
    <row r="463" ht="14.25" customHeight="1">
      <c r="D463" s="13"/>
      <c r="E463" s="13"/>
      <c r="F463" s="14"/>
      <c r="P463" s="5"/>
      <c r="Q463" s="5"/>
    </row>
    <row r="464" ht="14.25" customHeight="1">
      <c r="D464" s="13"/>
      <c r="E464" s="13"/>
      <c r="F464" s="14"/>
      <c r="P464" s="5"/>
      <c r="Q464" s="5"/>
    </row>
    <row r="465" ht="14.25" customHeight="1">
      <c r="D465" s="13"/>
      <c r="E465" s="13"/>
      <c r="F465" s="14"/>
      <c r="P465" s="5"/>
      <c r="Q465" s="5"/>
    </row>
    <row r="466" ht="14.25" customHeight="1">
      <c r="D466" s="13"/>
      <c r="E466" s="13"/>
      <c r="F466" s="14"/>
      <c r="P466" s="5"/>
      <c r="Q466" s="5"/>
    </row>
    <row r="467" ht="14.25" customHeight="1">
      <c r="D467" s="13"/>
      <c r="E467" s="13"/>
      <c r="F467" s="14"/>
      <c r="P467" s="5"/>
      <c r="Q467" s="5"/>
    </row>
    <row r="468" ht="14.25" customHeight="1">
      <c r="D468" s="13"/>
      <c r="E468" s="13"/>
      <c r="F468" s="14"/>
      <c r="P468" s="5"/>
      <c r="Q468" s="5"/>
    </row>
    <row r="469" ht="14.25" customHeight="1">
      <c r="D469" s="13"/>
      <c r="E469" s="13"/>
      <c r="F469" s="14"/>
      <c r="P469" s="5"/>
      <c r="Q469" s="5"/>
    </row>
    <row r="470" ht="14.25" customHeight="1">
      <c r="D470" s="13"/>
      <c r="E470" s="13"/>
      <c r="F470" s="14"/>
      <c r="P470" s="5"/>
      <c r="Q470" s="5"/>
    </row>
    <row r="471" ht="14.25" customHeight="1">
      <c r="D471" s="13"/>
      <c r="E471" s="13"/>
      <c r="F471" s="14"/>
      <c r="P471" s="5"/>
      <c r="Q471" s="5"/>
    </row>
    <row r="472" ht="14.25" customHeight="1">
      <c r="D472" s="13"/>
      <c r="E472" s="13"/>
      <c r="F472" s="14"/>
      <c r="P472" s="5"/>
      <c r="Q472" s="5"/>
    </row>
    <row r="473" ht="14.25" customHeight="1">
      <c r="D473" s="13"/>
      <c r="E473" s="13"/>
      <c r="F473" s="14"/>
      <c r="P473" s="5"/>
      <c r="Q473" s="5"/>
    </row>
    <row r="474" ht="14.25" customHeight="1">
      <c r="D474" s="13"/>
      <c r="E474" s="13"/>
      <c r="F474" s="14"/>
      <c r="P474" s="5"/>
      <c r="Q474" s="5"/>
    </row>
    <row r="475" ht="14.25" customHeight="1">
      <c r="D475" s="13"/>
      <c r="E475" s="13"/>
      <c r="F475" s="14"/>
      <c r="P475" s="5"/>
      <c r="Q475" s="5"/>
    </row>
    <row r="476" ht="14.25" customHeight="1">
      <c r="D476" s="13"/>
      <c r="E476" s="13"/>
      <c r="F476" s="14"/>
      <c r="P476" s="5"/>
      <c r="Q476" s="5"/>
    </row>
    <row r="477" ht="14.25" customHeight="1">
      <c r="D477" s="13"/>
      <c r="E477" s="13"/>
      <c r="F477" s="14"/>
      <c r="P477" s="5"/>
      <c r="Q477" s="5"/>
    </row>
    <row r="478" ht="14.25" customHeight="1">
      <c r="D478" s="13"/>
      <c r="E478" s="13"/>
      <c r="F478" s="14"/>
      <c r="P478" s="5"/>
      <c r="Q478" s="5"/>
    </row>
    <row r="479" ht="14.25" customHeight="1">
      <c r="D479" s="13"/>
      <c r="E479" s="13"/>
      <c r="F479" s="14"/>
      <c r="P479" s="5"/>
      <c r="Q479" s="5"/>
    </row>
    <row r="480" ht="14.25" customHeight="1">
      <c r="D480" s="13"/>
      <c r="E480" s="13"/>
      <c r="F480" s="14"/>
      <c r="P480" s="5"/>
      <c r="Q480" s="5"/>
    </row>
    <row r="481" ht="14.25" customHeight="1">
      <c r="D481" s="13"/>
      <c r="E481" s="13"/>
      <c r="F481" s="14"/>
      <c r="P481" s="5"/>
      <c r="Q481" s="5"/>
    </row>
    <row r="482" ht="14.25" customHeight="1">
      <c r="D482" s="13"/>
      <c r="E482" s="13"/>
      <c r="F482" s="14"/>
      <c r="P482" s="5"/>
      <c r="Q482" s="5"/>
    </row>
    <row r="483" ht="14.25" customHeight="1">
      <c r="D483" s="13"/>
      <c r="E483" s="13"/>
      <c r="F483" s="14"/>
      <c r="P483" s="5"/>
      <c r="Q483" s="5"/>
    </row>
    <row r="484" ht="14.25" customHeight="1">
      <c r="D484" s="13"/>
      <c r="E484" s="13"/>
      <c r="F484" s="14"/>
      <c r="P484" s="5"/>
      <c r="Q484" s="5"/>
    </row>
    <row r="485" ht="14.25" customHeight="1">
      <c r="D485" s="13"/>
      <c r="E485" s="13"/>
      <c r="F485" s="14"/>
      <c r="P485" s="5"/>
      <c r="Q485" s="5"/>
    </row>
    <row r="486" ht="14.25" customHeight="1">
      <c r="D486" s="13"/>
      <c r="E486" s="13"/>
      <c r="F486" s="14"/>
      <c r="P486" s="5"/>
      <c r="Q486" s="5"/>
    </row>
    <row r="487" ht="14.25" customHeight="1">
      <c r="D487" s="13"/>
      <c r="E487" s="13"/>
      <c r="F487" s="14"/>
      <c r="P487" s="5"/>
      <c r="Q487" s="5"/>
    </row>
    <row r="488" ht="14.25" customHeight="1">
      <c r="D488" s="13"/>
      <c r="E488" s="13"/>
      <c r="F488" s="14"/>
      <c r="P488" s="5"/>
      <c r="Q488" s="5"/>
    </row>
    <row r="489" ht="14.25" customHeight="1">
      <c r="D489" s="13"/>
      <c r="E489" s="13"/>
      <c r="F489" s="14"/>
      <c r="P489" s="5"/>
      <c r="Q489" s="5"/>
    </row>
    <row r="490" ht="14.25" customHeight="1">
      <c r="D490" s="13"/>
      <c r="E490" s="13"/>
      <c r="F490" s="14"/>
      <c r="P490" s="5"/>
      <c r="Q490" s="5"/>
    </row>
    <row r="491" ht="14.25" customHeight="1">
      <c r="D491" s="13"/>
      <c r="E491" s="13"/>
      <c r="F491" s="14"/>
      <c r="P491" s="5"/>
      <c r="Q491" s="5"/>
    </row>
    <row r="492" ht="14.25" customHeight="1">
      <c r="D492" s="13"/>
      <c r="E492" s="13"/>
      <c r="F492" s="14"/>
      <c r="P492" s="5"/>
      <c r="Q492" s="5"/>
    </row>
    <row r="493" ht="14.25" customHeight="1">
      <c r="D493" s="13"/>
      <c r="E493" s="13"/>
      <c r="F493" s="14"/>
      <c r="P493" s="5"/>
      <c r="Q493" s="5"/>
    </row>
    <row r="494" ht="14.25" customHeight="1">
      <c r="D494" s="13"/>
      <c r="E494" s="13"/>
      <c r="F494" s="14"/>
      <c r="P494" s="5"/>
      <c r="Q494" s="5"/>
    </row>
    <row r="495" ht="14.25" customHeight="1">
      <c r="D495" s="13"/>
      <c r="E495" s="13"/>
      <c r="F495" s="14"/>
      <c r="P495" s="5"/>
      <c r="Q495" s="5"/>
    </row>
    <row r="496" ht="14.25" customHeight="1">
      <c r="D496" s="13"/>
      <c r="E496" s="13"/>
      <c r="F496" s="14"/>
      <c r="P496" s="5"/>
      <c r="Q496" s="5"/>
    </row>
    <row r="497" ht="14.25" customHeight="1">
      <c r="D497" s="13"/>
      <c r="E497" s="13"/>
      <c r="F497" s="14"/>
      <c r="P497" s="5"/>
      <c r="Q497" s="5"/>
    </row>
    <row r="498" ht="14.25" customHeight="1">
      <c r="D498" s="13"/>
      <c r="E498" s="13"/>
      <c r="F498" s="14"/>
      <c r="P498" s="5"/>
      <c r="Q498" s="5"/>
    </row>
    <row r="499" ht="14.25" customHeight="1">
      <c r="D499" s="13"/>
      <c r="E499" s="13"/>
      <c r="F499" s="14"/>
      <c r="P499" s="5"/>
      <c r="Q499" s="5"/>
    </row>
    <row r="500" ht="14.25" customHeight="1">
      <c r="D500" s="13"/>
      <c r="E500" s="13"/>
      <c r="F500" s="14"/>
      <c r="P500" s="5"/>
      <c r="Q500" s="5"/>
    </row>
    <row r="501" ht="14.25" customHeight="1">
      <c r="D501" s="13"/>
      <c r="E501" s="13"/>
      <c r="F501" s="14"/>
      <c r="P501" s="5"/>
      <c r="Q501" s="5"/>
    </row>
    <row r="502" ht="14.25" customHeight="1">
      <c r="D502" s="13"/>
      <c r="E502" s="13"/>
      <c r="F502" s="14"/>
      <c r="P502" s="5"/>
      <c r="Q502" s="5"/>
    </row>
    <row r="503" ht="14.25" customHeight="1">
      <c r="D503" s="13"/>
      <c r="E503" s="13"/>
      <c r="F503" s="14"/>
      <c r="P503" s="5"/>
      <c r="Q503" s="5"/>
    </row>
    <row r="504" ht="14.25" customHeight="1">
      <c r="D504" s="13"/>
      <c r="E504" s="13"/>
      <c r="F504" s="14"/>
      <c r="P504" s="5"/>
      <c r="Q504" s="5"/>
    </row>
    <row r="505" ht="14.25" customHeight="1">
      <c r="D505" s="13"/>
      <c r="E505" s="13"/>
      <c r="F505" s="14"/>
      <c r="P505" s="5"/>
      <c r="Q505" s="5"/>
    </row>
    <row r="506" ht="14.25" customHeight="1">
      <c r="D506" s="13"/>
      <c r="E506" s="13"/>
      <c r="F506" s="14"/>
      <c r="P506" s="5"/>
      <c r="Q506" s="5"/>
    </row>
    <row r="507" ht="14.25" customHeight="1">
      <c r="D507" s="13"/>
      <c r="E507" s="13"/>
      <c r="F507" s="14"/>
      <c r="P507" s="5"/>
      <c r="Q507" s="5"/>
    </row>
    <row r="508" ht="14.25" customHeight="1">
      <c r="D508" s="13"/>
      <c r="E508" s="13"/>
      <c r="F508" s="14"/>
      <c r="P508" s="5"/>
      <c r="Q508" s="5"/>
    </row>
    <row r="509" ht="14.25" customHeight="1">
      <c r="D509" s="13"/>
      <c r="E509" s="13"/>
      <c r="F509" s="14"/>
      <c r="P509" s="5"/>
      <c r="Q509" s="5"/>
    </row>
    <row r="510" ht="14.25" customHeight="1">
      <c r="D510" s="13"/>
      <c r="E510" s="13"/>
      <c r="F510" s="14"/>
      <c r="P510" s="5"/>
      <c r="Q510" s="5"/>
    </row>
    <row r="511" ht="14.25" customHeight="1">
      <c r="D511" s="13"/>
      <c r="E511" s="13"/>
      <c r="F511" s="14"/>
      <c r="P511" s="5"/>
      <c r="Q511" s="5"/>
    </row>
    <row r="512" ht="14.25" customHeight="1">
      <c r="D512" s="13"/>
      <c r="E512" s="13"/>
      <c r="F512" s="14"/>
      <c r="P512" s="5"/>
      <c r="Q512" s="5"/>
    </row>
    <row r="513" ht="14.25" customHeight="1">
      <c r="D513" s="13"/>
      <c r="E513" s="13"/>
      <c r="F513" s="14"/>
      <c r="P513" s="5"/>
      <c r="Q513" s="5"/>
    </row>
    <row r="514" ht="14.25" customHeight="1">
      <c r="D514" s="13"/>
      <c r="E514" s="13"/>
      <c r="F514" s="14"/>
      <c r="P514" s="5"/>
      <c r="Q514" s="5"/>
    </row>
    <row r="515" ht="14.25" customHeight="1">
      <c r="D515" s="13"/>
      <c r="E515" s="13"/>
      <c r="F515" s="14"/>
      <c r="P515" s="5"/>
      <c r="Q515" s="5"/>
    </row>
    <row r="516" ht="14.25" customHeight="1">
      <c r="D516" s="13"/>
      <c r="E516" s="13"/>
      <c r="F516" s="14"/>
      <c r="P516" s="5"/>
      <c r="Q516" s="5"/>
    </row>
    <row r="517" ht="14.25" customHeight="1">
      <c r="D517" s="13"/>
      <c r="E517" s="13"/>
      <c r="F517" s="14"/>
      <c r="P517" s="5"/>
      <c r="Q517" s="5"/>
    </row>
    <row r="518" ht="14.25" customHeight="1">
      <c r="D518" s="13"/>
      <c r="E518" s="13"/>
      <c r="F518" s="14"/>
      <c r="P518" s="5"/>
      <c r="Q518" s="5"/>
    </row>
    <row r="519" ht="14.25" customHeight="1">
      <c r="D519" s="13"/>
      <c r="E519" s="13"/>
      <c r="F519" s="14"/>
      <c r="P519" s="5"/>
      <c r="Q519" s="5"/>
    </row>
    <row r="520" ht="14.25" customHeight="1">
      <c r="D520" s="13"/>
      <c r="E520" s="13"/>
      <c r="F520" s="14"/>
      <c r="P520" s="5"/>
      <c r="Q520" s="5"/>
    </row>
    <row r="521" ht="14.25" customHeight="1">
      <c r="D521" s="13"/>
      <c r="E521" s="13"/>
      <c r="F521" s="14"/>
      <c r="P521" s="5"/>
      <c r="Q521" s="5"/>
    </row>
    <row r="522" ht="14.25" customHeight="1">
      <c r="D522" s="13"/>
      <c r="E522" s="13"/>
      <c r="F522" s="14"/>
      <c r="P522" s="5"/>
      <c r="Q522" s="5"/>
    </row>
    <row r="523" ht="14.25" customHeight="1">
      <c r="D523" s="13"/>
      <c r="E523" s="13"/>
      <c r="F523" s="14"/>
      <c r="P523" s="5"/>
      <c r="Q523" s="5"/>
    </row>
    <row r="524" ht="14.25" customHeight="1">
      <c r="D524" s="13"/>
      <c r="E524" s="13"/>
      <c r="F524" s="14"/>
      <c r="P524" s="5"/>
      <c r="Q524" s="5"/>
    </row>
    <row r="525" ht="14.25" customHeight="1">
      <c r="D525" s="13"/>
      <c r="E525" s="13"/>
      <c r="F525" s="14"/>
      <c r="P525" s="5"/>
      <c r="Q525" s="5"/>
    </row>
    <row r="526" ht="14.25" customHeight="1">
      <c r="D526" s="13"/>
      <c r="E526" s="13"/>
      <c r="F526" s="14"/>
      <c r="P526" s="5"/>
      <c r="Q526" s="5"/>
    </row>
    <row r="527" ht="14.25" customHeight="1">
      <c r="D527" s="13"/>
      <c r="E527" s="13"/>
      <c r="F527" s="14"/>
      <c r="P527" s="5"/>
      <c r="Q527" s="5"/>
    </row>
    <row r="528" ht="14.25" customHeight="1">
      <c r="D528" s="13"/>
      <c r="E528" s="13"/>
      <c r="F528" s="14"/>
      <c r="P528" s="5"/>
      <c r="Q528" s="5"/>
    </row>
    <row r="529" ht="14.25" customHeight="1">
      <c r="D529" s="13"/>
      <c r="E529" s="13"/>
      <c r="F529" s="14"/>
      <c r="P529" s="5"/>
      <c r="Q529" s="5"/>
    </row>
    <row r="530" ht="14.25" customHeight="1">
      <c r="D530" s="13"/>
      <c r="E530" s="13"/>
      <c r="F530" s="14"/>
      <c r="P530" s="5"/>
      <c r="Q530" s="5"/>
    </row>
    <row r="531" ht="14.25" customHeight="1">
      <c r="D531" s="13"/>
      <c r="E531" s="13"/>
      <c r="F531" s="14"/>
      <c r="P531" s="5"/>
      <c r="Q531" s="5"/>
    </row>
    <row r="532" ht="14.25" customHeight="1">
      <c r="D532" s="13"/>
      <c r="E532" s="13"/>
      <c r="F532" s="14"/>
      <c r="P532" s="5"/>
      <c r="Q532" s="5"/>
    </row>
    <row r="533" ht="14.25" customHeight="1">
      <c r="D533" s="13"/>
      <c r="E533" s="13"/>
      <c r="F533" s="14"/>
      <c r="P533" s="5"/>
      <c r="Q533" s="5"/>
    </row>
    <row r="534" ht="14.25" customHeight="1">
      <c r="D534" s="13"/>
      <c r="E534" s="13"/>
      <c r="F534" s="14"/>
      <c r="P534" s="5"/>
      <c r="Q534" s="5"/>
    </row>
    <row r="535" ht="14.25" customHeight="1">
      <c r="D535" s="13"/>
      <c r="E535" s="13"/>
      <c r="F535" s="14"/>
      <c r="P535" s="5"/>
      <c r="Q535" s="5"/>
    </row>
    <row r="536" ht="14.25" customHeight="1">
      <c r="D536" s="13"/>
      <c r="E536" s="13"/>
      <c r="F536" s="14"/>
      <c r="P536" s="5"/>
      <c r="Q536" s="5"/>
    </row>
    <row r="537" ht="14.25" customHeight="1">
      <c r="D537" s="13"/>
      <c r="E537" s="13"/>
      <c r="F537" s="14"/>
      <c r="P537" s="5"/>
      <c r="Q537" s="5"/>
    </row>
    <row r="538" ht="14.25" customHeight="1">
      <c r="D538" s="13"/>
      <c r="E538" s="13"/>
      <c r="F538" s="14"/>
      <c r="P538" s="5"/>
      <c r="Q538" s="5"/>
    </row>
    <row r="539" ht="14.25" customHeight="1">
      <c r="D539" s="13"/>
      <c r="E539" s="13"/>
      <c r="F539" s="14"/>
      <c r="P539" s="5"/>
      <c r="Q539" s="5"/>
    </row>
    <row r="540" ht="14.25" customHeight="1">
      <c r="D540" s="13"/>
      <c r="E540" s="13"/>
      <c r="F540" s="14"/>
      <c r="P540" s="5"/>
      <c r="Q540" s="5"/>
    </row>
    <row r="541" ht="14.25" customHeight="1">
      <c r="D541" s="13"/>
      <c r="E541" s="13"/>
      <c r="F541" s="14"/>
      <c r="P541" s="5"/>
      <c r="Q541" s="5"/>
    </row>
    <row r="542" ht="14.25" customHeight="1">
      <c r="D542" s="13"/>
      <c r="E542" s="13"/>
      <c r="F542" s="14"/>
      <c r="P542" s="5"/>
      <c r="Q542" s="5"/>
    </row>
    <row r="543" ht="14.25" customHeight="1">
      <c r="D543" s="13"/>
      <c r="E543" s="13"/>
      <c r="F543" s="14"/>
      <c r="P543" s="5"/>
      <c r="Q543" s="5"/>
    </row>
    <row r="544" ht="14.25" customHeight="1">
      <c r="D544" s="13"/>
      <c r="E544" s="13"/>
      <c r="F544" s="14"/>
      <c r="P544" s="5"/>
      <c r="Q544" s="5"/>
    </row>
    <row r="545" ht="14.25" customHeight="1">
      <c r="D545" s="13"/>
      <c r="E545" s="13"/>
      <c r="F545" s="14"/>
      <c r="P545" s="5"/>
      <c r="Q545" s="5"/>
    </row>
    <row r="546" ht="14.25" customHeight="1">
      <c r="D546" s="13"/>
      <c r="E546" s="13"/>
      <c r="F546" s="14"/>
      <c r="P546" s="5"/>
      <c r="Q546" s="5"/>
    </row>
    <row r="547" ht="14.25" customHeight="1">
      <c r="D547" s="13"/>
      <c r="E547" s="13"/>
      <c r="F547" s="14"/>
      <c r="P547" s="5"/>
      <c r="Q547" s="5"/>
    </row>
    <row r="548" ht="14.25" customHeight="1">
      <c r="D548" s="13"/>
      <c r="E548" s="13"/>
      <c r="F548" s="14"/>
      <c r="P548" s="5"/>
      <c r="Q548" s="5"/>
    </row>
    <row r="549" ht="14.25" customHeight="1">
      <c r="D549" s="13"/>
      <c r="E549" s="13"/>
      <c r="F549" s="14"/>
      <c r="P549" s="5"/>
      <c r="Q549" s="5"/>
    </row>
    <row r="550" ht="14.25" customHeight="1">
      <c r="D550" s="13"/>
      <c r="E550" s="13"/>
      <c r="F550" s="14"/>
      <c r="P550" s="5"/>
      <c r="Q550" s="5"/>
    </row>
    <row r="551" ht="14.25" customHeight="1">
      <c r="D551" s="13"/>
      <c r="E551" s="13"/>
      <c r="F551" s="14"/>
      <c r="P551" s="5"/>
      <c r="Q551" s="5"/>
    </row>
    <row r="552" ht="14.25" customHeight="1">
      <c r="D552" s="13"/>
      <c r="E552" s="13"/>
      <c r="F552" s="14"/>
      <c r="P552" s="5"/>
      <c r="Q552" s="5"/>
    </row>
    <row r="553" ht="14.25" customHeight="1">
      <c r="D553" s="13"/>
      <c r="E553" s="13"/>
      <c r="F553" s="14"/>
      <c r="P553" s="5"/>
      <c r="Q553" s="5"/>
    </row>
    <row r="554" ht="14.25" customHeight="1">
      <c r="D554" s="13"/>
      <c r="E554" s="13"/>
      <c r="F554" s="14"/>
      <c r="P554" s="5"/>
      <c r="Q554" s="5"/>
    </row>
    <row r="555" ht="14.25" customHeight="1">
      <c r="D555" s="13"/>
      <c r="E555" s="13"/>
      <c r="F555" s="14"/>
      <c r="P555" s="5"/>
      <c r="Q555" s="5"/>
    </row>
    <row r="556" ht="14.25" customHeight="1">
      <c r="D556" s="13"/>
      <c r="E556" s="13"/>
      <c r="F556" s="14"/>
      <c r="P556" s="5"/>
      <c r="Q556" s="5"/>
    </row>
    <row r="557" ht="14.25" customHeight="1">
      <c r="D557" s="13"/>
      <c r="E557" s="13"/>
      <c r="F557" s="14"/>
      <c r="P557" s="5"/>
      <c r="Q557" s="5"/>
    </row>
    <row r="558" ht="14.25" customHeight="1">
      <c r="D558" s="13"/>
      <c r="E558" s="13"/>
      <c r="F558" s="14"/>
      <c r="P558" s="5"/>
      <c r="Q558" s="5"/>
    </row>
    <row r="559" ht="14.25" customHeight="1">
      <c r="D559" s="13"/>
      <c r="E559" s="13"/>
      <c r="F559" s="14"/>
      <c r="P559" s="5"/>
      <c r="Q559" s="5"/>
    </row>
    <row r="560" ht="14.25" customHeight="1">
      <c r="D560" s="13"/>
      <c r="E560" s="13"/>
      <c r="F560" s="14"/>
      <c r="P560" s="5"/>
      <c r="Q560" s="5"/>
    </row>
    <row r="561" ht="14.25" customHeight="1">
      <c r="D561" s="13"/>
      <c r="E561" s="13"/>
      <c r="F561" s="14"/>
      <c r="P561" s="5"/>
      <c r="Q561" s="5"/>
    </row>
    <row r="562" ht="14.25" customHeight="1">
      <c r="D562" s="13"/>
      <c r="E562" s="13"/>
      <c r="F562" s="14"/>
      <c r="P562" s="5"/>
      <c r="Q562" s="5"/>
    </row>
    <row r="563" ht="14.25" customHeight="1">
      <c r="D563" s="13"/>
      <c r="E563" s="13"/>
      <c r="F563" s="14"/>
      <c r="P563" s="5"/>
      <c r="Q563" s="5"/>
    </row>
    <row r="564" ht="14.25" customHeight="1">
      <c r="D564" s="13"/>
      <c r="E564" s="13"/>
      <c r="F564" s="14"/>
      <c r="P564" s="5"/>
      <c r="Q564" s="5"/>
    </row>
    <row r="565" ht="14.25" customHeight="1">
      <c r="D565" s="13"/>
      <c r="E565" s="13"/>
      <c r="F565" s="14"/>
      <c r="P565" s="5"/>
      <c r="Q565" s="5"/>
    </row>
    <row r="566" ht="14.25" customHeight="1">
      <c r="D566" s="13"/>
      <c r="E566" s="13"/>
      <c r="F566" s="14"/>
      <c r="P566" s="5"/>
      <c r="Q566" s="5"/>
    </row>
    <row r="567" ht="14.25" customHeight="1">
      <c r="D567" s="13"/>
      <c r="E567" s="13"/>
      <c r="F567" s="14"/>
      <c r="P567" s="5"/>
      <c r="Q567" s="5"/>
    </row>
    <row r="568" ht="14.25" customHeight="1">
      <c r="D568" s="13"/>
      <c r="E568" s="13"/>
      <c r="F568" s="14"/>
      <c r="P568" s="5"/>
      <c r="Q568" s="5"/>
    </row>
    <row r="569" ht="14.25" customHeight="1">
      <c r="D569" s="13"/>
      <c r="E569" s="13"/>
      <c r="F569" s="14"/>
      <c r="P569" s="5"/>
      <c r="Q569" s="5"/>
    </row>
    <row r="570" ht="14.25" customHeight="1">
      <c r="D570" s="13"/>
      <c r="E570" s="13"/>
      <c r="F570" s="14"/>
      <c r="P570" s="5"/>
      <c r="Q570" s="5"/>
    </row>
    <row r="571" ht="14.25" customHeight="1">
      <c r="D571" s="13"/>
      <c r="E571" s="13"/>
      <c r="F571" s="14"/>
      <c r="P571" s="5"/>
      <c r="Q571" s="5"/>
    </row>
    <row r="572" ht="14.25" customHeight="1">
      <c r="D572" s="13"/>
      <c r="E572" s="13"/>
      <c r="F572" s="14"/>
      <c r="P572" s="5"/>
      <c r="Q572" s="5"/>
    </row>
    <row r="573" ht="14.25" customHeight="1">
      <c r="D573" s="13"/>
      <c r="E573" s="13"/>
      <c r="F573" s="14"/>
      <c r="P573" s="5"/>
      <c r="Q573" s="5"/>
    </row>
    <row r="574" ht="14.25" customHeight="1">
      <c r="D574" s="13"/>
      <c r="E574" s="13"/>
      <c r="F574" s="14"/>
      <c r="P574" s="5"/>
      <c r="Q574" s="5"/>
    </row>
    <row r="575" ht="14.25" customHeight="1">
      <c r="D575" s="13"/>
      <c r="E575" s="13"/>
      <c r="F575" s="14"/>
      <c r="P575" s="5"/>
      <c r="Q575" s="5"/>
    </row>
    <row r="576" ht="14.25" customHeight="1">
      <c r="D576" s="13"/>
      <c r="E576" s="13"/>
      <c r="F576" s="14"/>
      <c r="P576" s="5"/>
      <c r="Q576" s="5"/>
    </row>
    <row r="577" ht="14.25" customHeight="1">
      <c r="D577" s="13"/>
      <c r="E577" s="13"/>
      <c r="F577" s="14"/>
      <c r="P577" s="5"/>
      <c r="Q577" s="5"/>
    </row>
    <row r="578" ht="14.25" customHeight="1">
      <c r="D578" s="13"/>
      <c r="E578" s="13"/>
      <c r="F578" s="14"/>
      <c r="P578" s="5"/>
      <c r="Q578" s="5"/>
    </row>
    <row r="579" ht="14.25" customHeight="1">
      <c r="D579" s="13"/>
      <c r="E579" s="13"/>
      <c r="F579" s="14"/>
      <c r="P579" s="5"/>
      <c r="Q579" s="5"/>
    </row>
    <row r="580" ht="14.25" customHeight="1">
      <c r="D580" s="13"/>
      <c r="E580" s="13"/>
      <c r="F580" s="14"/>
      <c r="P580" s="5"/>
      <c r="Q580" s="5"/>
    </row>
    <row r="581" ht="14.25" customHeight="1">
      <c r="D581" s="13"/>
      <c r="E581" s="13"/>
      <c r="F581" s="14"/>
      <c r="P581" s="5"/>
      <c r="Q581" s="5"/>
    </row>
    <row r="582" ht="14.25" customHeight="1">
      <c r="D582" s="13"/>
      <c r="E582" s="13"/>
      <c r="F582" s="14"/>
      <c r="P582" s="5"/>
      <c r="Q582" s="5"/>
    </row>
    <row r="583" ht="14.25" customHeight="1">
      <c r="D583" s="13"/>
      <c r="E583" s="13"/>
      <c r="F583" s="14"/>
      <c r="P583" s="5"/>
      <c r="Q583" s="5"/>
    </row>
    <row r="584" ht="14.25" customHeight="1">
      <c r="D584" s="13"/>
      <c r="E584" s="13"/>
      <c r="F584" s="14"/>
      <c r="P584" s="5"/>
      <c r="Q584" s="5"/>
    </row>
    <row r="585" ht="14.25" customHeight="1">
      <c r="D585" s="13"/>
      <c r="E585" s="13"/>
      <c r="F585" s="14"/>
      <c r="P585" s="5"/>
      <c r="Q585" s="5"/>
    </row>
    <row r="586" ht="14.25" customHeight="1">
      <c r="D586" s="13"/>
      <c r="E586" s="13"/>
      <c r="F586" s="14"/>
      <c r="P586" s="5"/>
      <c r="Q586" s="5"/>
    </row>
    <row r="587" ht="14.25" customHeight="1">
      <c r="D587" s="13"/>
      <c r="E587" s="13"/>
      <c r="F587" s="14"/>
      <c r="P587" s="5"/>
      <c r="Q587" s="5"/>
    </row>
    <row r="588" ht="14.25" customHeight="1">
      <c r="D588" s="13"/>
      <c r="E588" s="13"/>
      <c r="F588" s="14"/>
      <c r="P588" s="5"/>
      <c r="Q588" s="5"/>
    </row>
    <row r="589" ht="14.25" customHeight="1">
      <c r="D589" s="13"/>
      <c r="E589" s="13"/>
      <c r="F589" s="14"/>
      <c r="P589" s="5"/>
      <c r="Q589" s="5"/>
    </row>
    <row r="590" ht="14.25" customHeight="1">
      <c r="D590" s="13"/>
      <c r="E590" s="13"/>
      <c r="F590" s="14"/>
      <c r="P590" s="5"/>
      <c r="Q590" s="5"/>
    </row>
    <row r="591" ht="14.25" customHeight="1">
      <c r="D591" s="13"/>
      <c r="E591" s="13"/>
      <c r="F591" s="14"/>
      <c r="P591" s="5"/>
      <c r="Q591" s="5"/>
    </row>
    <row r="592" ht="14.25" customHeight="1">
      <c r="D592" s="13"/>
      <c r="E592" s="13"/>
      <c r="F592" s="14"/>
      <c r="P592" s="5"/>
      <c r="Q592" s="5"/>
    </row>
    <row r="593" ht="14.25" customHeight="1">
      <c r="D593" s="13"/>
      <c r="E593" s="13"/>
      <c r="F593" s="14"/>
      <c r="P593" s="5"/>
      <c r="Q593" s="5"/>
    </row>
    <row r="594" ht="14.25" customHeight="1">
      <c r="D594" s="13"/>
      <c r="E594" s="13"/>
      <c r="F594" s="14"/>
      <c r="P594" s="5"/>
      <c r="Q594" s="5"/>
    </row>
    <row r="595" ht="14.25" customHeight="1">
      <c r="D595" s="13"/>
      <c r="E595" s="13"/>
      <c r="F595" s="14"/>
      <c r="P595" s="5"/>
      <c r="Q595" s="5"/>
    </row>
    <row r="596" ht="14.25" customHeight="1">
      <c r="D596" s="13"/>
      <c r="E596" s="13"/>
      <c r="F596" s="14"/>
      <c r="P596" s="5"/>
      <c r="Q596" s="5"/>
    </row>
    <row r="597" ht="14.25" customHeight="1">
      <c r="D597" s="13"/>
      <c r="E597" s="13"/>
      <c r="F597" s="14"/>
      <c r="P597" s="5"/>
      <c r="Q597" s="5"/>
    </row>
    <row r="598" ht="14.25" customHeight="1">
      <c r="D598" s="13"/>
      <c r="E598" s="13"/>
      <c r="F598" s="14"/>
      <c r="P598" s="5"/>
      <c r="Q598" s="5"/>
    </row>
    <row r="599" ht="14.25" customHeight="1">
      <c r="D599" s="13"/>
      <c r="E599" s="13"/>
      <c r="F599" s="14"/>
      <c r="P599" s="5"/>
      <c r="Q599" s="5"/>
    </row>
    <row r="600" ht="14.25" customHeight="1">
      <c r="D600" s="13"/>
      <c r="E600" s="13"/>
      <c r="F600" s="14"/>
      <c r="P600" s="5"/>
      <c r="Q600" s="5"/>
    </row>
    <row r="601" ht="14.25" customHeight="1">
      <c r="D601" s="13"/>
      <c r="E601" s="13"/>
      <c r="F601" s="14"/>
      <c r="P601" s="5"/>
      <c r="Q601" s="5"/>
    </row>
    <row r="602" ht="14.25" customHeight="1">
      <c r="D602" s="13"/>
      <c r="E602" s="13"/>
      <c r="F602" s="14"/>
      <c r="P602" s="5"/>
      <c r="Q602" s="5"/>
    </row>
    <row r="603" ht="14.25" customHeight="1">
      <c r="D603" s="13"/>
      <c r="E603" s="13"/>
      <c r="F603" s="14"/>
      <c r="P603" s="5"/>
      <c r="Q603" s="5"/>
    </row>
    <row r="604" ht="14.25" customHeight="1">
      <c r="D604" s="13"/>
      <c r="E604" s="13"/>
      <c r="F604" s="14"/>
      <c r="P604" s="5"/>
      <c r="Q604" s="5"/>
    </row>
    <row r="605" ht="14.25" customHeight="1">
      <c r="D605" s="13"/>
      <c r="E605" s="13"/>
      <c r="F605" s="14"/>
      <c r="P605" s="5"/>
      <c r="Q605" s="5"/>
    </row>
    <row r="606" ht="14.25" customHeight="1">
      <c r="D606" s="13"/>
      <c r="E606" s="13"/>
      <c r="F606" s="14"/>
      <c r="P606" s="5"/>
      <c r="Q606" s="5"/>
    </row>
    <row r="607" ht="14.25" customHeight="1">
      <c r="D607" s="13"/>
      <c r="E607" s="13"/>
      <c r="F607" s="14"/>
      <c r="P607" s="5"/>
      <c r="Q607" s="5"/>
    </row>
    <row r="608" ht="14.25" customHeight="1">
      <c r="D608" s="13"/>
      <c r="E608" s="13"/>
      <c r="F608" s="14"/>
      <c r="P608" s="5"/>
      <c r="Q608" s="5"/>
    </row>
    <row r="609" ht="14.25" customHeight="1">
      <c r="D609" s="13"/>
      <c r="E609" s="13"/>
      <c r="F609" s="14"/>
      <c r="P609" s="5"/>
      <c r="Q609" s="5"/>
    </row>
    <row r="610" ht="14.25" customHeight="1">
      <c r="D610" s="13"/>
      <c r="E610" s="13"/>
      <c r="F610" s="14"/>
      <c r="P610" s="5"/>
      <c r="Q610" s="5"/>
    </row>
    <row r="611" ht="14.25" customHeight="1">
      <c r="D611" s="13"/>
      <c r="E611" s="13"/>
      <c r="F611" s="14"/>
      <c r="P611" s="5"/>
      <c r="Q611" s="5"/>
    </row>
    <row r="612" ht="14.25" customHeight="1">
      <c r="D612" s="13"/>
      <c r="E612" s="13"/>
      <c r="F612" s="14"/>
      <c r="P612" s="5"/>
      <c r="Q612" s="5"/>
    </row>
    <row r="613" ht="14.25" customHeight="1">
      <c r="D613" s="13"/>
      <c r="E613" s="13"/>
      <c r="F613" s="14"/>
      <c r="P613" s="5"/>
      <c r="Q613" s="5"/>
    </row>
    <row r="614" ht="14.25" customHeight="1">
      <c r="D614" s="13"/>
      <c r="E614" s="13"/>
      <c r="F614" s="14"/>
      <c r="P614" s="5"/>
      <c r="Q614" s="5"/>
    </row>
    <row r="615" ht="14.25" customHeight="1">
      <c r="D615" s="13"/>
      <c r="E615" s="13"/>
      <c r="F615" s="14"/>
      <c r="P615" s="5"/>
      <c r="Q615" s="5"/>
    </row>
    <row r="616" ht="14.25" customHeight="1">
      <c r="D616" s="13"/>
      <c r="E616" s="13"/>
      <c r="F616" s="14"/>
      <c r="P616" s="5"/>
      <c r="Q616" s="5"/>
    </row>
    <row r="617" ht="14.25" customHeight="1">
      <c r="D617" s="13"/>
      <c r="E617" s="13"/>
      <c r="F617" s="14"/>
      <c r="P617" s="5"/>
      <c r="Q617" s="5"/>
    </row>
    <row r="618" ht="14.25" customHeight="1">
      <c r="D618" s="13"/>
      <c r="E618" s="13"/>
      <c r="F618" s="14"/>
      <c r="P618" s="5"/>
      <c r="Q618" s="5"/>
    </row>
    <row r="619" ht="14.25" customHeight="1">
      <c r="D619" s="13"/>
      <c r="E619" s="13"/>
      <c r="F619" s="14"/>
      <c r="P619" s="5"/>
      <c r="Q619" s="5"/>
    </row>
    <row r="620" ht="14.25" customHeight="1">
      <c r="D620" s="13"/>
      <c r="E620" s="13"/>
      <c r="F620" s="14"/>
      <c r="P620" s="5"/>
      <c r="Q620" s="5"/>
    </row>
    <row r="621" ht="14.25" customHeight="1">
      <c r="D621" s="13"/>
      <c r="E621" s="13"/>
      <c r="F621" s="14"/>
      <c r="P621" s="5"/>
      <c r="Q621" s="5"/>
    </row>
    <row r="622" ht="14.25" customHeight="1">
      <c r="D622" s="13"/>
      <c r="E622" s="13"/>
      <c r="F622" s="14"/>
      <c r="P622" s="5"/>
      <c r="Q622" s="5"/>
    </row>
    <row r="623" ht="14.25" customHeight="1">
      <c r="D623" s="13"/>
      <c r="E623" s="13"/>
      <c r="F623" s="14"/>
      <c r="P623" s="5"/>
      <c r="Q623" s="5"/>
    </row>
    <row r="624" ht="14.25" customHeight="1">
      <c r="D624" s="13"/>
      <c r="E624" s="13"/>
      <c r="F624" s="14"/>
      <c r="P624" s="5"/>
      <c r="Q624" s="5"/>
    </row>
    <row r="625" ht="14.25" customHeight="1">
      <c r="D625" s="13"/>
      <c r="E625" s="13"/>
      <c r="F625" s="14"/>
      <c r="P625" s="5"/>
      <c r="Q625" s="5"/>
    </row>
    <row r="626" ht="14.25" customHeight="1">
      <c r="D626" s="13"/>
      <c r="E626" s="13"/>
      <c r="F626" s="14"/>
      <c r="P626" s="5"/>
      <c r="Q626" s="5"/>
    </row>
    <row r="627" ht="14.25" customHeight="1">
      <c r="D627" s="13"/>
      <c r="E627" s="13"/>
      <c r="F627" s="14"/>
      <c r="P627" s="5"/>
      <c r="Q627" s="5"/>
    </row>
    <row r="628" ht="14.25" customHeight="1">
      <c r="D628" s="13"/>
      <c r="E628" s="13"/>
      <c r="F628" s="14"/>
      <c r="P628" s="5"/>
      <c r="Q628" s="5"/>
    </row>
    <row r="629" ht="14.25" customHeight="1">
      <c r="D629" s="13"/>
      <c r="E629" s="13"/>
      <c r="F629" s="14"/>
      <c r="P629" s="5"/>
      <c r="Q629" s="5"/>
    </row>
    <row r="630" ht="14.25" customHeight="1">
      <c r="D630" s="13"/>
      <c r="E630" s="13"/>
      <c r="F630" s="14"/>
      <c r="P630" s="5"/>
      <c r="Q630" s="5"/>
    </row>
    <row r="631" ht="14.25" customHeight="1">
      <c r="D631" s="13"/>
      <c r="E631" s="13"/>
      <c r="F631" s="14"/>
      <c r="P631" s="5"/>
      <c r="Q631" s="5"/>
    </row>
    <row r="632" ht="14.25" customHeight="1">
      <c r="D632" s="13"/>
      <c r="E632" s="13"/>
      <c r="F632" s="14"/>
      <c r="P632" s="5"/>
      <c r="Q632" s="5"/>
    </row>
    <row r="633" ht="14.25" customHeight="1">
      <c r="D633" s="13"/>
      <c r="E633" s="13"/>
      <c r="F633" s="14"/>
      <c r="P633" s="5"/>
      <c r="Q633" s="5"/>
    </row>
    <row r="634" ht="14.25" customHeight="1">
      <c r="D634" s="13"/>
      <c r="E634" s="13"/>
      <c r="F634" s="14"/>
      <c r="P634" s="5"/>
      <c r="Q634" s="5"/>
    </row>
    <row r="635" ht="14.25" customHeight="1">
      <c r="D635" s="13"/>
      <c r="E635" s="13"/>
      <c r="F635" s="14"/>
      <c r="P635" s="5"/>
      <c r="Q635" s="5"/>
    </row>
    <row r="636" ht="14.25" customHeight="1">
      <c r="D636" s="13"/>
      <c r="E636" s="13"/>
      <c r="F636" s="14"/>
      <c r="P636" s="5"/>
      <c r="Q636" s="5"/>
    </row>
    <row r="637" ht="14.25" customHeight="1">
      <c r="D637" s="13"/>
      <c r="E637" s="13"/>
      <c r="F637" s="14"/>
      <c r="P637" s="5"/>
      <c r="Q637" s="5"/>
    </row>
    <row r="638" ht="14.25" customHeight="1">
      <c r="D638" s="13"/>
      <c r="E638" s="13"/>
      <c r="F638" s="14"/>
      <c r="P638" s="5"/>
      <c r="Q638" s="5"/>
    </row>
    <row r="639" ht="14.25" customHeight="1">
      <c r="D639" s="13"/>
      <c r="E639" s="13"/>
      <c r="F639" s="14"/>
      <c r="P639" s="5"/>
      <c r="Q639" s="5"/>
    </row>
    <row r="640" ht="14.25" customHeight="1">
      <c r="D640" s="13"/>
      <c r="E640" s="13"/>
      <c r="F640" s="14"/>
      <c r="P640" s="5"/>
      <c r="Q640" s="5"/>
    </row>
    <row r="641" ht="14.25" customHeight="1">
      <c r="D641" s="13"/>
      <c r="E641" s="13"/>
      <c r="F641" s="14"/>
      <c r="P641" s="5"/>
      <c r="Q641" s="5"/>
    </row>
    <row r="642" ht="14.25" customHeight="1">
      <c r="D642" s="13"/>
      <c r="E642" s="13"/>
      <c r="F642" s="14"/>
      <c r="P642" s="5"/>
      <c r="Q642" s="5"/>
    </row>
    <row r="643" ht="14.25" customHeight="1">
      <c r="D643" s="13"/>
      <c r="E643" s="13"/>
      <c r="F643" s="14"/>
      <c r="P643" s="5"/>
      <c r="Q643" s="5"/>
    </row>
    <row r="644" ht="14.25" customHeight="1">
      <c r="D644" s="13"/>
      <c r="E644" s="13"/>
      <c r="F644" s="14"/>
      <c r="P644" s="5"/>
      <c r="Q644" s="5"/>
    </row>
    <row r="645" ht="14.25" customHeight="1">
      <c r="D645" s="13"/>
      <c r="E645" s="13"/>
      <c r="F645" s="14"/>
      <c r="P645" s="5"/>
      <c r="Q645" s="5"/>
    </row>
    <row r="646" ht="14.25" customHeight="1">
      <c r="D646" s="13"/>
      <c r="E646" s="13"/>
      <c r="F646" s="14"/>
      <c r="P646" s="5"/>
      <c r="Q646" s="5"/>
    </row>
    <row r="647" ht="14.25" customHeight="1">
      <c r="D647" s="13"/>
      <c r="E647" s="13"/>
      <c r="F647" s="14"/>
      <c r="P647" s="5"/>
      <c r="Q647" s="5"/>
    </row>
    <row r="648" ht="14.25" customHeight="1">
      <c r="D648" s="13"/>
      <c r="E648" s="13"/>
      <c r="F648" s="14"/>
      <c r="P648" s="5"/>
      <c r="Q648" s="5"/>
    </row>
    <row r="649" ht="14.25" customHeight="1">
      <c r="D649" s="13"/>
      <c r="E649" s="13"/>
      <c r="F649" s="14"/>
      <c r="P649" s="5"/>
      <c r="Q649" s="5"/>
    </row>
    <row r="650" ht="14.25" customHeight="1">
      <c r="D650" s="13"/>
      <c r="E650" s="13"/>
      <c r="F650" s="14"/>
      <c r="P650" s="5"/>
      <c r="Q650" s="5"/>
    </row>
    <row r="651" ht="14.25" customHeight="1">
      <c r="D651" s="13"/>
      <c r="E651" s="13"/>
      <c r="F651" s="14"/>
      <c r="P651" s="5"/>
      <c r="Q651" s="5"/>
    </row>
    <row r="652" ht="14.25" customHeight="1">
      <c r="D652" s="13"/>
      <c r="E652" s="13"/>
      <c r="F652" s="14"/>
      <c r="P652" s="5"/>
      <c r="Q652" s="5"/>
    </row>
    <row r="653" ht="14.25" customHeight="1">
      <c r="D653" s="13"/>
      <c r="E653" s="13"/>
      <c r="F653" s="14"/>
      <c r="P653" s="5"/>
      <c r="Q653" s="5"/>
    </row>
    <row r="654" ht="14.25" customHeight="1">
      <c r="D654" s="13"/>
      <c r="E654" s="13"/>
      <c r="F654" s="14"/>
      <c r="P654" s="5"/>
      <c r="Q654" s="5"/>
    </row>
    <row r="655" ht="14.25" customHeight="1">
      <c r="D655" s="13"/>
      <c r="E655" s="13"/>
      <c r="F655" s="14"/>
      <c r="P655" s="5"/>
      <c r="Q655" s="5"/>
    </row>
    <row r="656" ht="14.25" customHeight="1">
      <c r="D656" s="13"/>
      <c r="E656" s="13"/>
      <c r="F656" s="14"/>
      <c r="P656" s="5"/>
      <c r="Q656" s="5"/>
    </row>
    <row r="657" ht="14.25" customHeight="1">
      <c r="D657" s="13"/>
      <c r="E657" s="13"/>
      <c r="F657" s="14"/>
      <c r="P657" s="5"/>
      <c r="Q657" s="5"/>
    </row>
    <row r="658" ht="14.25" customHeight="1">
      <c r="D658" s="13"/>
      <c r="E658" s="13"/>
      <c r="F658" s="14"/>
      <c r="P658" s="5"/>
      <c r="Q658" s="5"/>
    </row>
    <row r="659" ht="14.25" customHeight="1">
      <c r="D659" s="13"/>
      <c r="E659" s="13"/>
      <c r="F659" s="14"/>
      <c r="P659" s="5"/>
      <c r="Q659" s="5"/>
    </row>
    <row r="660" ht="14.25" customHeight="1">
      <c r="D660" s="13"/>
      <c r="E660" s="13"/>
      <c r="F660" s="14"/>
      <c r="P660" s="5"/>
      <c r="Q660" s="5"/>
    </row>
    <row r="661" ht="14.25" customHeight="1">
      <c r="D661" s="13"/>
      <c r="E661" s="13"/>
      <c r="F661" s="14"/>
      <c r="P661" s="5"/>
      <c r="Q661" s="5"/>
    </row>
    <row r="662" ht="14.25" customHeight="1">
      <c r="D662" s="13"/>
      <c r="E662" s="13"/>
      <c r="F662" s="14"/>
      <c r="P662" s="5"/>
      <c r="Q662" s="5"/>
    </row>
    <row r="663" ht="14.25" customHeight="1">
      <c r="D663" s="13"/>
      <c r="E663" s="13"/>
      <c r="F663" s="14"/>
      <c r="P663" s="5"/>
      <c r="Q663" s="5"/>
    </row>
    <row r="664" ht="14.25" customHeight="1">
      <c r="D664" s="13"/>
      <c r="E664" s="13"/>
      <c r="F664" s="14"/>
      <c r="P664" s="5"/>
      <c r="Q664" s="5"/>
    </row>
    <row r="665" ht="14.25" customHeight="1">
      <c r="D665" s="13"/>
      <c r="E665" s="13"/>
      <c r="F665" s="14"/>
      <c r="P665" s="5"/>
      <c r="Q665" s="5"/>
    </row>
    <row r="666" ht="14.25" customHeight="1">
      <c r="D666" s="13"/>
      <c r="E666" s="13"/>
      <c r="F666" s="14"/>
      <c r="P666" s="5"/>
      <c r="Q666" s="5"/>
    </row>
    <row r="667" ht="14.25" customHeight="1">
      <c r="D667" s="13"/>
      <c r="E667" s="13"/>
      <c r="F667" s="14"/>
      <c r="P667" s="5"/>
      <c r="Q667" s="5"/>
    </row>
    <row r="668" ht="14.25" customHeight="1">
      <c r="D668" s="13"/>
      <c r="E668" s="13"/>
      <c r="F668" s="14"/>
      <c r="P668" s="5"/>
      <c r="Q668" s="5"/>
    </row>
    <row r="669" ht="14.25" customHeight="1">
      <c r="D669" s="13"/>
      <c r="E669" s="13"/>
      <c r="F669" s="14"/>
      <c r="P669" s="5"/>
      <c r="Q669" s="5"/>
    </row>
    <row r="670" ht="14.25" customHeight="1">
      <c r="D670" s="13"/>
      <c r="E670" s="13"/>
      <c r="F670" s="14"/>
      <c r="P670" s="5"/>
      <c r="Q670" s="5"/>
    </row>
    <row r="671" ht="14.25" customHeight="1">
      <c r="D671" s="13"/>
      <c r="E671" s="13"/>
      <c r="F671" s="14"/>
      <c r="P671" s="5"/>
      <c r="Q671" s="5"/>
    </row>
    <row r="672" ht="14.25" customHeight="1">
      <c r="D672" s="13"/>
      <c r="E672" s="13"/>
      <c r="F672" s="14"/>
      <c r="P672" s="5"/>
      <c r="Q672" s="5"/>
    </row>
    <row r="673" ht="14.25" customHeight="1">
      <c r="D673" s="13"/>
      <c r="E673" s="13"/>
      <c r="F673" s="14"/>
      <c r="P673" s="5"/>
      <c r="Q673" s="5"/>
    </row>
    <row r="674" ht="14.25" customHeight="1">
      <c r="D674" s="13"/>
      <c r="E674" s="13"/>
      <c r="F674" s="14"/>
      <c r="P674" s="5"/>
      <c r="Q674" s="5"/>
    </row>
    <row r="675" ht="14.25" customHeight="1">
      <c r="D675" s="13"/>
      <c r="E675" s="13"/>
      <c r="F675" s="14"/>
      <c r="P675" s="5"/>
      <c r="Q675" s="5"/>
    </row>
    <row r="676" ht="14.25" customHeight="1">
      <c r="D676" s="13"/>
      <c r="E676" s="13"/>
      <c r="F676" s="14"/>
      <c r="P676" s="5"/>
      <c r="Q676" s="5"/>
    </row>
    <row r="677" ht="14.25" customHeight="1">
      <c r="D677" s="13"/>
      <c r="E677" s="13"/>
      <c r="F677" s="14"/>
      <c r="P677" s="5"/>
      <c r="Q677" s="5"/>
    </row>
    <row r="678" ht="14.25" customHeight="1">
      <c r="D678" s="13"/>
      <c r="E678" s="13"/>
      <c r="F678" s="14"/>
      <c r="P678" s="5"/>
      <c r="Q678" s="5"/>
    </row>
    <row r="679" ht="14.25" customHeight="1">
      <c r="D679" s="13"/>
      <c r="E679" s="13"/>
      <c r="F679" s="14"/>
      <c r="P679" s="5"/>
      <c r="Q679" s="5"/>
    </row>
    <row r="680" ht="14.25" customHeight="1">
      <c r="D680" s="13"/>
      <c r="E680" s="13"/>
      <c r="F680" s="14"/>
      <c r="P680" s="5"/>
      <c r="Q680" s="5"/>
    </row>
    <row r="681" ht="14.25" customHeight="1">
      <c r="D681" s="13"/>
      <c r="E681" s="13"/>
      <c r="F681" s="14"/>
      <c r="P681" s="5"/>
      <c r="Q681" s="5"/>
    </row>
    <row r="682" ht="14.25" customHeight="1">
      <c r="D682" s="13"/>
      <c r="E682" s="13"/>
      <c r="F682" s="14"/>
      <c r="P682" s="5"/>
      <c r="Q682" s="5"/>
    </row>
    <row r="683" ht="14.25" customHeight="1">
      <c r="D683" s="13"/>
      <c r="E683" s="13"/>
      <c r="F683" s="14"/>
      <c r="P683" s="5"/>
      <c r="Q683" s="5"/>
    </row>
    <row r="684" ht="14.25" customHeight="1">
      <c r="D684" s="13"/>
      <c r="E684" s="13"/>
      <c r="F684" s="14"/>
      <c r="P684" s="5"/>
      <c r="Q684" s="5"/>
    </row>
    <row r="685" ht="14.25" customHeight="1">
      <c r="D685" s="13"/>
      <c r="E685" s="13"/>
      <c r="F685" s="14"/>
      <c r="P685" s="5"/>
      <c r="Q685" s="5"/>
    </row>
    <row r="686" ht="14.25" customHeight="1">
      <c r="D686" s="13"/>
      <c r="E686" s="13"/>
      <c r="F686" s="14"/>
      <c r="P686" s="5"/>
      <c r="Q686" s="5"/>
    </row>
    <row r="687" ht="14.25" customHeight="1">
      <c r="D687" s="13"/>
      <c r="E687" s="13"/>
      <c r="F687" s="14"/>
      <c r="P687" s="5"/>
      <c r="Q687" s="5"/>
    </row>
    <row r="688" ht="14.25" customHeight="1">
      <c r="D688" s="13"/>
      <c r="E688" s="13"/>
      <c r="F688" s="14"/>
      <c r="P688" s="5"/>
      <c r="Q688" s="5"/>
    </row>
    <row r="689" ht="14.25" customHeight="1">
      <c r="D689" s="13"/>
      <c r="E689" s="13"/>
      <c r="F689" s="14"/>
      <c r="P689" s="5"/>
      <c r="Q689" s="5"/>
    </row>
    <row r="690" ht="14.25" customHeight="1">
      <c r="D690" s="13"/>
      <c r="E690" s="13"/>
      <c r="F690" s="14"/>
      <c r="P690" s="5"/>
      <c r="Q690" s="5"/>
    </row>
    <row r="691" ht="14.25" customHeight="1">
      <c r="D691" s="13"/>
      <c r="E691" s="13"/>
      <c r="F691" s="14"/>
      <c r="P691" s="5"/>
      <c r="Q691" s="5"/>
    </row>
    <row r="692" ht="14.25" customHeight="1">
      <c r="D692" s="13"/>
      <c r="E692" s="13"/>
      <c r="F692" s="14"/>
      <c r="P692" s="5"/>
      <c r="Q692" s="5"/>
    </row>
    <row r="693" ht="14.25" customHeight="1">
      <c r="D693" s="13"/>
      <c r="E693" s="13"/>
      <c r="F693" s="14"/>
      <c r="P693" s="5"/>
      <c r="Q693" s="5"/>
    </row>
    <row r="694" ht="14.25" customHeight="1">
      <c r="D694" s="13"/>
      <c r="E694" s="13"/>
      <c r="F694" s="14"/>
      <c r="P694" s="5"/>
      <c r="Q694" s="5"/>
    </row>
    <row r="695" ht="14.25" customHeight="1">
      <c r="D695" s="13"/>
      <c r="E695" s="13"/>
      <c r="F695" s="14"/>
      <c r="P695" s="5"/>
      <c r="Q695" s="5"/>
    </row>
    <row r="696" ht="14.25" customHeight="1">
      <c r="D696" s="13"/>
      <c r="E696" s="13"/>
      <c r="F696" s="14"/>
      <c r="P696" s="5"/>
      <c r="Q696" s="5"/>
    </row>
    <row r="697" ht="14.25" customHeight="1">
      <c r="D697" s="13"/>
      <c r="E697" s="13"/>
      <c r="F697" s="14"/>
      <c r="P697" s="5"/>
      <c r="Q697" s="5"/>
    </row>
    <row r="698" ht="14.25" customHeight="1">
      <c r="D698" s="13"/>
      <c r="E698" s="13"/>
      <c r="F698" s="14"/>
      <c r="P698" s="5"/>
      <c r="Q698" s="5"/>
    </row>
    <row r="699" ht="14.25" customHeight="1">
      <c r="D699" s="13"/>
      <c r="E699" s="13"/>
      <c r="F699" s="14"/>
      <c r="P699" s="5"/>
      <c r="Q699" s="5"/>
    </row>
    <row r="700" ht="14.25" customHeight="1">
      <c r="D700" s="13"/>
      <c r="E700" s="13"/>
      <c r="F700" s="14"/>
      <c r="P700" s="5"/>
      <c r="Q700" s="5"/>
    </row>
    <row r="701" ht="14.25" customHeight="1">
      <c r="D701" s="13"/>
      <c r="E701" s="13"/>
      <c r="F701" s="14"/>
      <c r="P701" s="5"/>
      <c r="Q701" s="5"/>
    </row>
    <row r="702" ht="14.25" customHeight="1">
      <c r="D702" s="13"/>
      <c r="E702" s="13"/>
      <c r="F702" s="14"/>
      <c r="P702" s="5"/>
      <c r="Q702" s="5"/>
    </row>
    <row r="703" ht="14.25" customHeight="1">
      <c r="D703" s="13"/>
      <c r="E703" s="13"/>
      <c r="F703" s="14"/>
      <c r="P703" s="5"/>
      <c r="Q703" s="5"/>
    </row>
    <row r="704" ht="14.25" customHeight="1">
      <c r="D704" s="13"/>
      <c r="E704" s="13"/>
      <c r="F704" s="14"/>
      <c r="P704" s="5"/>
      <c r="Q704" s="5"/>
    </row>
    <row r="705" ht="14.25" customHeight="1">
      <c r="D705" s="13"/>
      <c r="E705" s="13"/>
      <c r="F705" s="14"/>
      <c r="P705" s="5"/>
      <c r="Q705" s="5"/>
    </row>
    <row r="706" ht="14.25" customHeight="1">
      <c r="D706" s="13"/>
      <c r="E706" s="13"/>
      <c r="F706" s="14"/>
      <c r="P706" s="5"/>
      <c r="Q706" s="5"/>
    </row>
    <row r="707" ht="14.25" customHeight="1">
      <c r="D707" s="13"/>
      <c r="E707" s="13"/>
      <c r="F707" s="14"/>
      <c r="P707" s="5"/>
      <c r="Q707" s="5"/>
    </row>
    <row r="708" ht="14.25" customHeight="1">
      <c r="D708" s="13"/>
      <c r="E708" s="13"/>
      <c r="F708" s="14"/>
      <c r="P708" s="5"/>
      <c r="Q708" s="5"/>
    </row>
    <row r="709" ht="14.25" customHeight="1">
      <c r="D709" s="13"/>
      <c r="E709" s="13"/>
      <c r="F709" s="14"/>
      <c r="P709" s="5"/>
      <c r="Q709" s="5"/>
    </row>
    <row r="710" ht="14.25" customHeight="1">
      <c r="D710" s="13"/>
      <c r="E710" s="13"/>
      <c r="F710" s="14"/>
      <c r="P710" s="5"/>
      <c r="Q710" s="5"/>
    </row>
    <row r="711" ht="14.25" customHeight="1">
      <c r="D711" s="13"/>
      <c r="E711" s="13"/>
      <c r="F711" s="14"/>
      <c r="P711" s="5"/>
      <c r="Q711" s="5"/>
    </row>
    <row r="712" ht="14.25" customHeight="1">
      <c r="D712" s="13"/>
      <c r="E712" s="13"/>
      <c r="F712" s="14"/>
      <c r="P712" s="5"/>
      <c r="Q712" s="5"/>
    </row>
    <row r="713" ht="14.25" customHeight="1">
      <c r="D713" s="13"/>
      <c r="E713" s="13"/>
      <c r="F713" s="14"/>
      <c r="P713" s="5"/>
      <c r="Q713" s="5"/>
    </row>
    <row r="714" ht="14.25" customHeight="1">
      <c r="D714" s="13"/>
      <c r="E714" s="13"/>
      <c r="F714" s="14"/>
      <c r="P714" s="5"/>
      <c r="Q714" s="5"/>
    </row>
    <row r="715" ht="14.25" customHeight="1">
      <c r="D715" s="13"/>
      <c r="E715" s="13"/>
      <c r="F715" s="14"/>
      <c r="P715" s="5"/>
      <c r="Q715" s="5"/>
    </row>
    <row r="716" ht="14.25" customHeight="1">
      <c r="D716" s="13"/>
      <c r="E716" s="13"/>
      <c r="F716" s="14"/>
      <c r="P716" s="5"/>
      <c r="Q716" s="5"/>
    </row>
    <row r="717" ht="14.25" customHeight="1">
      <c r="D717" s="13"/>
      <c r="E717" s="13"/>
      <c r="F717" s="14"/>
      <c r="P717" s="5"/>
      <c r="Q717" s="5"/>
    </row>
    <row r="718" ht="14.25" customHeight="1">
      <c r="D718" s="13"/>
      <c r="E718" s="13"/>
      <c r="F718" s="14"/>
      <c r="P718" s="5"/>
      <c r="Q718" s="5"/>
    </row>
    <row r="719" ht="14.25" customHeight="1">
      <c r="D719" s="13"/>
      <c r="E719" s="13"/>
      <c r="F719" s="14"/>
      <c r="P719" s="5"/>
      <c r="Q719" s="5"/>
    </row>
    <row r="720" ht="14.25" customHeight="1">
      <c r="D720" s="13"/>
      <c r="E720" s="13"/>
      <c r="F720" s="14"/>
      <c r="P720" s="5"/>
      <c r="Q720" s="5"/>
    </row>
    <row r="721" ht="14.25" customHeight="1">
      <c r="D721" s="13"/>
      <c r="E721" s="13"/>
      <c r="F721" s="14"/>
      <c r="P721" s="5"/>
      <c r="Q721" s="5"/>
    </row>
    <row r="722" ht="14.25" customHeight="1">
      <c r="D722" s="13"/>
      <c r="E722" s="13"/>
      <c r="F722" s="14"/>
      <c r="P722" s="5"/>
      <c r="Q722" s="5"/>
    </row>
    <row r="723" ht="14.25" customHeight="1">
      <c r="D723" s="13"/>
      <c r="E723" s="13"/>
      <c r="F723" s="14"/>
      <c r="P723" s="5"/>
      <c r="Q723" s="5"/>
    </row>
    <row r="724" ht="14.25" customHeight="1">
      <c r="D724" s="13"/>
      <c r="E724" s="13"/>
      <c r="F724" s="14"/>
      <c r="P724" s="5"/>
      <c r="Q724" s="5"/>
    </row>
    <row r="725" ht="14.25" customHeight="1">
      <c r="D725" s="13"/>
      <c r="E725" s="13"/>
      <c r="F725" s="14"/>
      <c r="P725" s="5"/>
      <c r="Q725" s="5"/>
    </row>
    <row r="726" ht="14.25" customHeight="1">
      <c r="D726" s="13"/>
      <c r="E726" s="13"/>
      <c r="F726" s="14"/>
      <c r="P726" s="5"/>
      <c r="Q726" s="5"/>
    </row>
    <row r="727" ht="14.25" customHeight="1">
      <c r="D727" s="13"/>
      <c r="E727" s="13"/>
      <c r="F727" s="14"/>
      <c r="P727" s="5"/>
      <c r="Q727" s="5"/>
    </row>
    <row r="728" ht="14.25" customHeight="1">
      <c r="D728" s="13"/>
      <c r="E728" s="13"/>
      <c r="F728" s="14"/>
      <c r="P728" s="5"/>
      <c r="Q728" s="5"/>
    </row>
    <row r="729" ht="14.25" customHeight="1">
      <c r="D729" s="13"/>
      <c r="E729" s="13"/>
      <c r="F729" s="14"/>
      <c r="P729" s="5"/>
      <c r="Q729" s="5"/>
    </row>
    <row r="730" ht="14.25" customHeight="1">
      <c r="D730" s="13"/>
      <c r="E730" s="13"/>
      <c r="F730" s="14"/>
      <c r="P730" s="5"/>
      <c r="Q730" s="5"/>
    </row>
    <row r="731" ht="14.25" customHeight="1">
      <c r="D731" s="13"/>
      <c r="E731" s="13"/>
      <c r="F731" s="14"/>
      <c r="P731" s="5"/>
      <c r="Q731" s="5"/>
    </row>
    <row r="732" ht="14.25" customHeight="1">
      <c r="D732" s="13"/>
      <c r="E732" s="13"/>
      <c r="F732" s="14"/>
      <c r="P732" s="5"/>
      <c r="Q732" s="5"/>
    </row>
    <row r="733" ht="14.25" customHeight="1">
      <c r="D733" s="13"/>
      <c r="E733" s="13"/>
      <c r="F733" s="14"/>
      <c r="P733" s="5"/>
      <c r="Q733" s="5"/>
    </row>
    <row r="734" ht="14.25" customHeight="1">
      <c r="D734" s="13"/>
      <c r="E734" s="13"/>
      <c r="F734" s="14"/>
      <c r="P734" s="5"/>
      <c r="Q734" s="5"/>
    </row>
    <row r="735" ht="14.25" customHeight="1">
      <c r="D735" s="13"/>
      <c r="E735" s="13"/>
      <c r="F735" s="14"/>
      <c r="P735" s="5"/>
      <c r="Q735" s="5"/>
    </row>
    <row r="736" ht="14.25" customHeight="1">
      <c r="D736" s="13"/>
      <c r="E736" s="13"/>
      <c r="F736" s="14"/>
      <c r="P736" s="5"/>
      <c r="Q736" s="5"/>
    </row>
    <row r="737" ht="14.25" customHeight="1">
      <c r="D737" s="13"/>
      <c r="E737" s="13"/>
      <c r="F737" s="14"/>
      <c r="P737" s="5"/>
      <c r="Q737" s="5"/>
    </row>
    <row r="738" ht="14.25" customHeight="1">
      <c r="D738" s="13"/>
      <c r="E738" s="13"/>
      <c r="F738" s="14"/>
      <c r="P738" s="5"/>
      <c r="Q738" s="5"/>
    </row>
    <row r="739" ht="14.25" customHeight="1">
      <c r="D739" s="13"/>
      <c r="E739" s="13"/>
      <c r="F739" s="14"/>
      <c r="P739" s="5"/>
      <c r="Q739" s="5"/>
    </row>
    <row r="740" ht="14.25" customHeight="1">
      <c r="D740" s="13"/>
      <c r="E740" s="13"/>
      <c r="F740" s="14"/>
      <c r="P740" s="5"/>
      <c r="Q740" s="5"/>
    </row>
    <row r="741" ht="14.25" customHeight="1">
      <c r="D741" s="13"/>
      <c r="E741" s="13"/>
      <c r="F741" s="14"/>
      <c r="P741" s="5"/>
      <c r="Q741" s="5"/>
    </row>
    <row r="742" ht="14.25" customHeight="1">
      <c r="D742" s="13"/>
      <c r="E742" s="13"/>
      <c r="F742" s="14"/>
      <c r="P742" s="5"/>
      <c r="Q742" s="5"/>
    </row>
    <row r="743" ht="14.25" customHeight="1">
      <c r="D743" s="13"/>
      <c r="E743" s="13"/>
      <c r="F743" s="14"/>
      <c r="P743" s="5"/>
      <c r="Q743" s="5"/>
    </row>
    <row r="744" ht="14.25" customHeight="1">
      <c r="D744" s="13"/>
      <c r="E744" s="13"/>
      <c r="F744" s="14"/>
      <c r="P744" s="5"/>
      <c r="Q744" s="5"/>
    </row>
    <row r="745" ht="14.25" customHeight="1">
      <c r="D745" s="13"/>
      <c r="E745" s="13"/>
      <c r="F745" s="14"/>
      <c r="P745" s="5"/>
      <c r="Q745" s="5"/>
    </row>
    <row r="746" ht="14.25" customHeight="1">
      <c r="D746" s="13"/>
      <c r="E746" s="13"/>
      <c r="F746" s="14"/>
      <c r="P746" s="5"/>
      <c r="Q746" s="5"/>
    </row>
    <row r="747" ht="14.25" customHeight="1">
      <c r="D747" s="13"/>
      <c r="E747" s="13"/>
      <c r="F747" s="14"/>
      <c r="P747" s="5"/>
      <c r="Q747" s="5"/>
    </row>
    <row r="748" ht="14.25" customHeight="1">
      <c r="D748" s="13"/>
      <c r="E748" s="13"/>
      <c r="F748" s="14"/>
      <c r="P748" s="5"/>
      <c r="Q748" s="5"/>
    </row>
    <row r="749" ht="14.25" customHeight="1">
      <c r="D749" s="13"/>
      <c r="E749" s="13"/>
      <c r="F749" s="14"/>
      <c r="P749" s="5"/>
      <c r="Q749" s="5"/>
    </row>
    <row r="750" ht="14.25" customHeight="1">
      <c r="D750" s="13"/>
      <c r="E750" s="13"/>
      <c r="F750" s="14"/>
      <c r="P750" s="5"/>
      <c r="Q750" s="5"/>
    </row>
    <row r="751" ht="14.25" customHeight="1">
      <c r="D751" s="13"/>
      <c r="E751" s="13"/>
      <c r="F751" s="14"/>
      <c r="P751" s="5"/>
      <c r="Q751" s="5"/>
    </row>
    <row r="752" ht="14.25" customHeight="1">
      <c r="D752" s="13"/>
      <c r="E752" s="13"/>
      <c r="F752" s="14"/>
      <c r="P752" s="5"/>
      <c r="Q752" s="5"/>
    </row>
    <row r="753" ht="14.25" customHeight="1">
      <c r="D753" s="13"/>
      <c r="E753" s="13"/>
      <c r="F753" s="14"/>
      <c r="P753" s="5"/>
      <c r="Q753" s="5"/>
    </row>
    <row r="754" ht="14.25" customHeight="1">
      <c r="D754" s="13"/>
      <c r="E754" s="13"/>
      <c r="F754" s="14"/>
      <c r="P754" s="5"/>
      <c r="Q754" s="5"/>
    </row>
    <row r="755" ht="14.25" customHeight="1">
      <c r="D755" s="13"/>
      <c r="E755" s="13"/>
      <c r="F755" s="14"/>
      <c r="P755" s="5"/>
      <c r="Q755" s="5"/>
    </row>
    <row r="756" ht="14.25" customHeight="1">
      <c r="D756" s="13"/>
      <c r="E756" s="13"/>
      <c r="F756" s="14"/>
      <c r="P756" s="5"/>
      <c r="Q756" s="5"/>
    </row>
    <row r="757" ht="14.25" customHeight="1">
      <c r="D757" s="13"/>
      <c r="E757" s="13"/>
      <c r="F757" s="14"/>
      <c r="P757" s="5"/>
      <c r="Q757" s="5"/>
    </row>
    <row r="758" ht="14.25" customHeight="1">
      <c r="D758" s="13"/>
      <c r="E758" s="13"/>
      <c r="F758" s="14"/>
      <c r="P758" s="5"/>
      <c r="Q758" s="5"/>
    </row>
    <row r="759" ht="14.25" customHeight="1">
      <c r="D759" s="13"/>
      <c r="E759" s="13"/>
      <c r="F759" s="14"/>
      <c r="P759" s="5"/>
      <c r="Q759" s="5"/>
    </row>
    <row r="760" ht="14.25" customHeight="1">
      <c r="D760" s="13"/>
      <c r="E760" s="13"/>
      <c r="F760" s="14"/>
      <c r="P760" s="5"/>
      <c r="Q760" s="5"/>
    </row>
    <row r="761" ht="14.25" customHeight="1">
      <c r="D761" s="13"/>
      <c r="E761" s="13"/>
      <c r="F761" s="14"/>
      <c r="P761" s="5"/>
      <c r="Q761" s="5"/>
    </row>
    <row r="762" ht="14.25" customHeight="1">
      <c r="D762" s="13"/>
      <c r="E762" s="13"/>
      <c r="F762" s="14"/>
      <c r="P762" s="5"/>
      <c r="Q762" s="5"/>
    </row>
    <row r="763" ht="14.25" customHeight="1">
      <c r="D763" s="13"/>
      <c r="E763" s="13"/>
      <c r="F763" s="14"/>
      <c r="P763" s="5"/>
      <c r="Q763" s="5"/>
    </row>
    <row r="764" ht="14.25" customHeight="1">
      <c r="D764" s="13"/>
      <c r="E764" s="13"/>
      <c r="F764" s="14"/>
      <c r="P764" s="5"/>
      <c r="Q764" s="5"/>
    </row>
    <row r="765" ht="14.25" customHeight="1">
      <c r="D765" s="13"/>
      <c r="E765" s="13"/>
      <c r="F765" s="14"/>
      <c r="P765" s="5"/>
      <c r="Q765" s="5"/>
    </row>
    <row r="766" ht="14.25" customHeight="1">
      <c r="D766" s="13"/>
      <c r="E766" s="13"/>
      <c r="F766" s="14"/>
      <c r="P766" s="5"/>
      <c r="Q766" s="5"/>
    </row>
    <row r="767" ht="14.25" customHeight="1">
      <c r="D767" s="13"/>
      <c r="E767" s="13"/>
      <c r="F767" s="14"/>
      <c r="P767" s="5"/>
      <c r="Q767" s="5"/>
    </row>
    <row r="768" ht="14.25" customHeight="1">
      <c r="D768" s="13"/>
      <c r="E768" s="13"/>
      <c r="F768" s="14"/>
      <c r="P768" s="5"/>
      <c r="Q768" s="5"/>
    </row>
    <row r="769" ht="14.25" customHeight="1">
      <c r="D769" s="13"/>
      <c r="E769" s="13"/>
      <c r="F769" s="14"/>
      <c r="P769" s="5"/>
      <c r="Q769" s="5"/>
    </row>
    <row r="770" ht="14.25" customHeight="1">
      <c r="D770" s="13"/>
      <c r="E770" s="13"/>
      <c r="F770" s="14"/>
      <c r="P770" s="5"/>
      <c r="Q770" s="5"/>
    </row>
    <row r="771" ht="14.25" customHeight="1">
      <c r="D771" s="13"/>
      <c r="E771" s="13"/>
      <c r="F771" s="14"/>
      <c r="P771" s="5"/>
      <c r="Q771" s="5"/>
    </row>
    <row r="772" ht="14.25" customHeight="1">
      <c r="D772" s="13"/>
      <c r="E772" s="13"/>
      <c r="F772" s="14"/>
      <c r="P772" s="5"/>
      <c r="Q772" s="5"/>
    </row>
    <row r="773" ht="14.25" customHeight="1">
      <c r="D773" s="13"/>
      <c r="E773" s="13"/>
      <c r="F773" s="14"/>
      <c r="P773" s="5"/>
      <c r="Q773" s="5"/>
    </row>
    <row r="774" ht="14.25" customHeight="1">
      <c r="D774" s="13"/>
      <c r="E774" s="13"/>
      <c r="F774" s="14"/>
      <c r="P774" s="5"/>
      <c r="Q774" s="5"/>
    </row>
    <row r="775" ht="14.25" customHeight="1">
      <c r="D775" s="13"/>
      <c r="E775" s="13"/>
      <c r="F775" s="14"/>
      <c r="P775" s="5"/>
      <c r="Q775" s="5"/>
    </row>
    <row r="776" ht="14.25" customHeight="1">
      <c r="D776" s="13"/>
      <c r="E776" s="13"/>
      <c r="F776" s="14"/>
      <c r="P776" s="5"/>
      <c r="Q776" s="5"/>
    </row>
    <row r="777" ht="14.25" customHeight="1">
      <c r="D777" s="13"/>
      <c r="E777" s="13"/>
      <c r="F777" s="14"/>
      <c r="P777" s="5"/>
      <c r="Q777" s="5"/>
    </row>
    <row r="778" ht="14.25" customHeight="1">
      <c r="D778" s="13"/>
      <c r="E778" s="13"/>
      <c r="F778" s="14"/>
      <c r="P778" s="5"/>
      <c r="Q778" s="5"/>
    </row>
    <row r="779" ht="14.25" customHeight="1">
      <c r="D779" s="13"/>
      <c r="E779" s="13"/>
      <c r="F779" s="14"/>
      <c r="P779" s="5"/>
      <c r="Q779" s="5"/>
    </row>
    <row r="780" ht="14.25" customHeight="1">
      <c r="D780" s="13"/>
      <c r="E780" s="13"/>
      <c r="F780" s="14"/>
      <c r="P780" s="5"/>
      <c r="Q780" s="5"/>
    </row>
    <row r="781" ht="14.25" customHeight="1">
      <c r="D781" s="13"/>
      <c r="E781" s="13"/>
      <c r="F781" s="14"/>
      <c r="P781" s="5"/>
      <c r="Q781" s="5"/>
    </row>
    <row r="782" ht="14.25" customHeight="1">
      <c r="D782" s="13"/>
      <c r="E782" s="13"/>
      <c r="F782" s="14"/>
      <c r="P782" s="5"/>
      <c r="Q782" s="5"/>
    </row>
    <row r="783" ht="14.25" customHeight="1">
      <c r="D783" s="13"/>
      <c r="E783" s="13"/>
      <c r="F783" s="14"/>
      <c r="P783" s="5"/>
      <c r="Q783" s="5"/>
    </row>
    <row r="784" ht="14.25" customHeight="1">
      <c r="D784" s="13"/>
      <c r="E784" s="13"/>
      <c r="F784" s="14"/>
      <c r="P784" s="5"/>
      <c r="Q784" s="5"/>
    </row>
    <row r="785" ht="14.25" customHeight="1">
      <c r="D785" s="13"/>
      <c r="E785" s="13"/>
      <c r="F785" s="14"/>
      <c r="P785" s="5"/>
      <c r="Q785" s="5"/>
    </row>
    <row r="786" ht="14.25" customHeight="1">
      <c r="D786" s="13"/>
      <c r="E786" s="13"/>
      <c r="F786" s="14"/>
      <c r="P786" s="5"/>
      <c r="Q786" s="5"/>
    </row>
    <row r="787" ht="14.25" customHeight="1">
      <c r="D787" s="13"/>
      <c r="E787" s="13"/>
      <c r="F787" s="14"/>
      <c r="P787" s="5"/>
      <c r="Q787" s="5"/>
    </row>
    <row r="788" ht="14.25" customHeight="1">
      <c r="D788" s="13"/>
      <c r="E788" s="13"/>
      <c r="F788" s="14"/>
      <c r="P788" s="5"/>
      <c r="Q788" s="5"/>
    </row>
    <row r="789" ht="14.25" customHeight="1">
      <c r="D789" s="13"/>
      <c r="E789" s="13"/>
      <c r="F789" s="14"/>
      <c r="P789" s="5"/>
      <c r="Q789" s="5"/>
    </row>
    <row r="790" ht="14.25" customHeight="1">
      <c r="D790" s="13"/>
      <c r="E790" s="13"/>
      <c r="F790" s="14"/>
      <c r="P790" s="5"/>
      <c r="Q790" s="5"/>
    </row>
    <row r="791" ht="14.25" customHeight="1">
      <c r="D791" s="13"/>
      <c r="E791" s="13"/>
      <c r="F791" s="14"/>
      <c r="P791" s="5"/>
      <c r="Q791" s="5"/>
    </row>
    <row r="792" ht="14.25" customHeight="1">
      <c r="D792" s="13"/>
      <c r="E792" s="13"/>
      <c r="F792" s="14"/>
      <c r="P792" s="5"/>
      <c r="Q792" s="5"/>
    </row>
    <row r="793" ht="14.25" customHeight="1">
      <c r="D793" s="13"/>
      <c r="E793" s="13"/>
      <c r="F793" s="14"/>
      <c r="P793" s="5"/>
      <c r="Q793" s="5"/>
    </row>
    <row r="794" ht="14.25" customHeight="1">
      <c r="D794" s="13"/>
      <c r="E794" s="13"/>
      <c r="F794" s="14"/>
      <c r="P794" s="5"/>
      <c r="Q794" s="5"/>
    </row>
    <row r="795" ht="14.25" customHeight="1">
      <c r="D795" s="13"/>
      <c r="E795" s="13"/>
      <c r="F795" s="14"/>
      <c r="P795" s="5"/>
      <c r="Q795" s="5"/>
    </row>
    <row r="796" ht="14.25" customHeight="1">
      <c r="D796" s="13"/>
      <c r="E796" s="13"/>
      <c r="F796" s="14"/>
      <c r="P796" s="5"/>
      <c r="Q796" s="5"/>
    </row>
    <row r="797" ht="14.25" customHeight="1">
      <c r="D797" s="13"/>
      <c r="E797" s="13"/>
      <c r="F797" s="14"/>
      <c r="P797" s="5"/>
      <c r="Q797" s="5"/>
    </row>
    <row r="798" ht="14.25" customHeight="1">
      <c r="D798" s="13"/>
      <c r="E798" s="13"/>
      <c r="F798" s="14"/>
      <c r="P798" s="5"/>
      <c r="Q798" s="5"/>
    </row>
    <row r="799" ht="14.25" customHeight="1">
      <c r="D799" s="13"/>
      <c r="E799" s="13"/>
      <c r="F799" s="14"/>
      <c r="P799" s="5"/>
      <c r="Q799" s="5"/>
    </row>
    <row r="800" ht="14.25" customHeight="1">
      <c r="D800" s="13"/>
      <c r="E800" s="13"/>
      <c r="F800" s="14"/>
      <c r="P800" s="5"/>
      <c r="Q800" s="5"/>
    </row>
    <row r="801" ht="14.25" customHeight="1">
      <c r="D801" s="13"/>
      <c r="E801" s="13"/>
      <c r="F801" s="14"/>
      <c r="P801" s="5"/>
      <c r="Q801" s="5"/>
    </row>
    <row r="802" ht="14.25" customHeight="1">
      <c r="D802" s="13"/>
      <c r="E802" s="13"/>
      <c r="F802" s="14"/>
      <c r="P802" s="5"/>
      <c r="Q802" s="5"/>
    </row>
    <row r="803" ht="14.25" customHeight="1">
      <c r="D803" s="13"/>
      <c r="E803" s="13"/>
      <c r="F803" s="14"/>
      <c r="P803" s="5"/>
      <c r="Q803" s="5"/>
    </row>
    <row r="804" ht="14.25" customHeight="1">
      <c r="D804" s="13"/>
      <c r="E804" s="13"/>
      <c r="F804" s="14"/>
      <c r="P804" s="5"/>
      <c r="Q804" s="5"/>
    </row>
    <row r="805" ht="14.25" customHeight="1">
      <c r="D805" s="13"/>
      <c r="E805" s="13"/>
      <c r="F805" s="14"/>
      <c r="P805" s="5"/>
      <c r="Q805" s="5"/>
    </row>
    <row r="806" ht="14.25" customHeight="1">
      <c r="D806" s="13"/>
      <c r="E806" s="13"/>
      <c r="F806" s="14"/>
      <c r="P806" s="5"/>
      <c r="Q806" s="5"/>
    </row>
    <row r="807" ht="14.25" customHeight="1">
      <c r="D807" s="13"/>
      <c r="E807" s="13"/>
      <c r="F807" s="14"/>
      <c r="P807" s="5"/>
      <c r="Q807" s="5"/>
    </row>
    <row r="808" ht="14.25" customHeight="1">
      <c r="D808" s="13"/>
      <c r="E808" s="13"/>
      <c r="F808" s="14"/>
      <c r="P808" s="5"/>
      <c r="Q808" s="5"/>
    </row>
    <row r="809" ht="14.25" customHeight="1">
      <c r="D809" s="13"/>
      <c r="E809" s="13"/>
      <c r="F809" s="14"/>
      <c r="P809" s="5"/>
      <c r="Q809" s="5"/>
    </row>
    <row r="810" ht="14.25" customHeight="1">
      <c r="D810" s="13"/>
      <c r="E810" s="13"/>
      <c r="F810" s="14"/>
      <c r="P810" s="5"/>
      <c r="Q810" s="5"/>
    </row>
    <row r="811" ht="14.25" customHeight="1">
      <c r="D811" s="13"/>
      <c r="E811" s="13"/>
      <c r="F811" s="14"/>
      <c r="P811" s="5"/>
      <c r="Q811" s="5"/>
    </row>
    <row r="812" ht="14.25" customHeight="1">
      <c r="D812" s="13"/>
      <c r="E812" s="13"/>
      <c r="F812" s="14"/>
      <c r="P812" s="5"/>
      <c r="Q812" s="5"/>
    </row>
    <row r="813" ht="14.25" customHeight="1">
      <c r="D813" s="13"/>
      <c r="E813" s="13"/>
      <c r="F813" s="14"/>
      <c r="P813" s="5"/>
      <c r="Q813" s="5"/>
    </row>
    <row r="814" ht="14.25" customHeight="1">
      <c r="D814" s="13"/>
      <c r="E814" s="13"/>
      <c r="F814" s="14"/>
      <c r="P814" s="5"/>
      <c r="Q814" s="5"/>
    </row>
    <row r="815" ht="14.25" customHeight="1">
      <c r="D815" s="13"/>
      <c r="E815" s="13"/>
      <c r="F815" s="14"/>
      <c r="P815" s="5"/>
      <c r="Q815" s="5"/>
    </row>
    <row r="816" ht="14.25" customHeight="1">
      <c r="D816" s="13"/>
      <c r="E816" s="13"/>
      <c r="F816" s="14"/>
      <c r="P816" s="5"/>
      <c r="Q816" s="5"/>
    </row>
    <row r="817" ht="14.25" customHeight="1">
      <c r="D817" s="13"/>
      <c r="E817" s="13"/>
      <c r="F817" s="14"/>
      <c r="P817" s="5"/>
      <c r="Q817" s="5"/>
    </row>
    <row r="818" ht="14.25" customHeight="1">
      <c r="D818" s="13"/>
      <c r="E818" s="13"/>
      <c r="F818" s="14"/>
      <c r="P818" s="5"/>
      <c r="Q818" s="5"/>
    </row>
    <row r="819" ht="14.25" customHeight="1">
      <c r="D819" s="13"/>
      <c r="E819" s="13"/>
      <c r="F819" s="14"/>
      <c r="P819" s="5"/>
      <c r="Q819" s="5"/>
    </row>
    <row r="820" ht="14.25" customHeight="1">
      <c r="D820" s="13"/>
      <c r="E820" s="13"/>
      <c r="F820" s="14"/>
      <c r="P820" s="5"/>
      <c r="Q820" s="5"/>
    </row>
    <row r="821" ht="14.25" customHeight="1">
      <c r="D821" s="13"/>
      <c r="E821" s="13"/>
      <c r="F821" s="14"/>
      <c r="P821" s="5"/>
      <c r="Q821" s="5"/>
    </row>
    <row r="822" ht="14.25" customHeight="1">
      <c r="D822" s="13"/>
      <c r="E822" s="13"/>
      <c r="F822" s="14"/>
      <c r="P822" s="5"/>
      <c r="Q822" s="5"/>
    </row>
    <row r="823" ht="14.25" customHeight="1">
      <c r="D823" s="13"/>
      <c r="E823" s="13"/>
      <c r="F823" s="14"/>
      <c r="P823" s="5"/>
      <c r="Q823" s="5"/>
    </row>
    <row r="824" ht="14.25" customHeight="1">
      <c r="D824" s="13"/>
      <c r="E824" s="13"/>
      <c r="F824" s="14"/>
      <c r="P824" s="5"/>
      <c r="Q824" s="5"/>
    </row>
    <row r="825" ht="14.25" customHeight="1">
      <c r="D825" s="13"/>
      <c r="E825" s="13"/>
      <c r="F825" s="14"/>
      <c r="P825" s="5"/>
      <c r="Q825" s="5"/>
    </row>
    <row r="826" ht="14.25" customHeight="1">
      <c r="D826" s="13"/>
      <c r="E826" s="13"/>
      <c r="F826" s="14"/>
      <c r="P826" s="5"/>
      <c r="Q826" s="5"/>
    </row>
    <row r="827" ht="14.25" customHeight="1">
      <c r="D827" s="13"/>
      <c r="E827" s="13"/>
      <c r="F827" s="14"/>
      <c r="P827" s="5"/>
      <c r="Q827" s="5"/>
    </row>
    <row r="828" ht="14.25" customHeight="1">
      <c r="D828" s="13"/>
      <c r="E828" s="13"/>
      <c r="F828" s="14"/>
      <c r="P828" s="5"/>
      <c r="Q828" s="5"/>
    </row>
    <row r="829" ht="14.25" customHeight="1">
      <c r="D829" s="13"/>
      <c r="E829" s="13"/>
      <c r="F829" s="14"/>
      <c r="P829" s="5"/>
      <c r="Q829" s="5"/>
    </row>
    <row r="830" ht="14.25" customHeight="1">
      <c r="D830" s="13"/>
      <c r="E830" s="13"/>
      <c r="F830" s="14"/>
      <c r="P830" s="5"/>
      <c r="Q830" s="5"/>
    </row>
    <row r="831" ht="14.25" customHeight="1">
      <c r="D831" s="13"/>
      <c r="E831" s="13"/>
      <c r="F831" s="14"/>
      <c r="P831" s="5"/>
      <c r="Q831" s="5"/>
    </row>
    <row r="832" ht="14.25" customHeight="1">
      <c r="D832" s="13"/>
      <c r="E832" s="13"/>
      <c r="F832" s="14"/>
      <c r="P832" s="5"/>
      <c r="Q832" s="5"/>
    </row>
    <row r="833" ht="14.25" customHeight="1">
      <c r="D833" s="13"/>
      <c r="E833" s="13"/>
      <c r="F833" s="14"/>
      <c r="P833" s="5"/>
      <c r="Q833" s="5"/>
    </row>
    <row r="834" ht="14.25" customHeight="1">
      <c r="D834" s="13"/>
      <c r="E834" s="13"/>
      <c r="F834" s="14"/>
      <c r="P834" s="5"/>
      <c r="Q834" s="5"/>
    </row>
    <row r="835" ht="14.25" customHeight="1">
      <c r="D835" s="13"/>
      <c r="E835" s="13"/>
      <c r="F835" s="14"/>
      <c r="P835" s="5"/>
      <c r="Q835" s="5"/>
    </row>
    <row r="836" ht="14.25" customHeight="1">
      <c r="D836" s="13"/>
      <c r="E836" s="13"/>
      <c r="F836" s="14"/>
      <c r="P836" s="5"/>
      <c r="Q836" s="5"/>
    </row>
    <row r="837" ht="14.25" customHeight="1">
      <c r="D837" s="13"/>
      <c r="E837" s="13"/>
      <c r="F837" s="14"/>
      <c r="P837" s="5"/>
      <c r="Q837" s="5"/>
    </row>
    <row r="838" ht="14.25" customHeight="1">
      <c r="D838" s="13"/>
      <c r="E838" s="13"/>
      <c r="F838" s="14"/>
      <c r="P838" s="5"/>
      <c r="Q838" s="5"/>
    </row>
    <row r="839" ht="14.25" customHeight="1">
      <c r="D839" s="13"/>
      <c r="E839" s="13"/>
      <c r="F839" s="14"/>
      <c r="P839" s="5"/>
      <c r="Q839" s="5"/>
    </row>
    <row r="840" ht="14.25" customHeight="1">
      <c r="D840" s="13"/>
      <c r="E840" s="13"/>
      <c r="F840" s="14"/>
      <c r="P840" s="5"/>
      <c r="Q840" s="5"/>
    </row>
    <row r="841" ht="14.25" customHeight="1">
      <c r="D841" s="13"/>
      <c r="E841" s="13"/>
      <c r="F841" s="14"/>
      <c r="P841" s="5"/>
      <c r="Q841" s="5"/>
    </row>
    <row r="842" ht="14.25" customHeight="1">
      <c r="D842" s="13"/>
      <c r="E842" s="13"/>
      <c r="F842" s="14"/>
      <c r="P842" s="5"/>
      <c r="Q842" s="5"/>
    </row>
    <row r="843" ht="14.25" customHeight="1">
      <c r="D843" s="13"/>
      <c r="E843" s="13"/>
      <c r="F843" s="14"/>
      <c r="P843" s="5"/>
      <c r="Q843" s="5"/>
    </row>
    <row r="844" ht="14.25" customHeight="1">
      <c r="D844" s="13"/>
      <c r="E844" s="13"/>
      <c r="F844" s="14"/>
      <c r="P844" s="5"/>
      <c r="Q844" s="5"/>
    </row>
    <row r="845" ht="14.25" customHeight="1">
      <c r="D845" s="13"/>
      <c r="E845" s="13"/>
      <c r="F845" s="14"/>
      <c r="P845" s="5"/>
      <c r="Q845" s="5"/>
    </row>
    <row r="846" ht="14.25" customHeight="1">
      <c r="D846" s="13"/>
      <c r="E846" s="13"/>
      <c r="F846" s="14"/>
      <c r="P846" s="5"/>
      <c r="Q846" s="5"/>
    </row>
    <row r="847" ht="14.25" customHeight="1">
      <c r="D847" s="13"/>
      <c r="E847" s="13"/>
      <c r="F847" s="14"/>
      <c r="P847" s="5"/>
      <c r="Q847" s="5"/>
    </row>
    <row r="848" ht="14.25" customHeight="1">
      <c r="D848" s="13"/>
      <c r="E848" s="13"/>
      <c r="F848" s="14"/>
      <c r="P848" s="5"/>
      <c r="Q848" s="5"/>
    </row>
    <row r="849" ht="14.25" customHeight="1">
      <c r="D849" s="13"/>
      <c r="E849" s="13"/>
      <c r="F849" s="14"/>
      <c r="P849" s="5"/>
      <c r="Q849" s="5"/>
    </row>
    <row r="850" ht="14.25" customHeight="1">
      <c r="D850" s="13"/>
      <c r="E850" s="13"/>
      <c r="F850" s="14"/>
      <c r="P850" s="5"/>
      <c r="Q850" s="5"/>
    </row>
    <row r="851" ht="14.25" customHeight="1">
      <c r="D851" s="13"/>
      <c r="E851" s="13"/>
      <c r="F851" s="14"/>
      <c r="P851" s="5"/>
      <c r="Q851" s="5"/>
    </row>
    <row r="852" ht="14.25" customHeight="1">
      <c r="D852" s="13"/>
      <c r="E852" s="13"/>
      <c r="F852" s="14"/>
      <c r="P852" s="5"/>
      <c r="Q852" s="5"/>
    </row>
    <row r="853" ht="14.25" customHeight="1">
      <c r="D853" s="13"/>
      <c r="E853" s="13"/>
      <c r="F853" s="14"/>
      <c r="P853" s="5"/>
      <c r="Q853" s="5"/>
    </row>
    <row r="854" ht="14.25" customHeight="1">
      <c r="D854" s="13"/>
      <c r="E854" s="13"/>
      <c r="F854" s="14"/>
      <c r="P854" s="5"/>
      <c r="Q854" s="5"/>
    </row>
    <row r="855" ht="14.25" customHeight="1">
      <c r="D855" s="13"/>
      <c r="E855" s="13"/>
      <c r="F855" s="14"/>
      <c r="P855" s="5"/>
      <c r="Q855" s="5"/>
    </row>
    <row r="856" ht="14.25" customHeight="1">
      <c r="D856" s="13"/>
      <c r="E856" s="13"/>
      <c r="F856" s="14"/>
      <c r="P856" s="5"/>
      <c r="Q856" s="5"/>
    </row>
    <row r="857" ht="14.25" customHeight="1">
      <c r="D857" s="13"/>
      <c r="E857" s="13"/>
      <c r="F857" s="14"/>
      <c r="P857" s="5"/>
      <c r="Q857" s="5"/>
    </row>
    <row r="858" ht="14.25" customHeight="1">
      <c r="D858" s="13"/>
      <c r="E858" s="13"/>
      <c r="F858" s="14"/>
      <c r="P858" s="5"/>
      <c r="Q858" s="5"/>
    </row>
    <row r="859" ht="14.25" customHeight="1">
      <c r="D859" s="13"/>
      <c r="E859" s="13"/>
      <c r="F859" s="14"/>
      <c r="P859" s="5"/>
      <c r="Q859" s="5"/>
    </row>
    <row r="860" ht="14.25" customHeight="1">
      <c r="D860" s="13"/>
      <c r="E860" s="13"/>
      <c r="F860" s="14"/>
      <c r="P860" s="5"/>
      <c r="Q860" s="5"/>
    </row>
    <row r="861" ht="14.25" customHeight="1">
      <c r="D861" s="13"/>
      <c r="E861" s="13"/>
      <c r="F861" s="14"/>
      <c r="P861" s="5"/>
      <c r="Q861" s="5"/>
    </row>
    <row r="862" ht="14.25" customHeight="1">
      <c r="D862" s="13"/>
      <c r="E862" s="13"/>
      <c r="F862" s="14"/>
      <c r="P862" s="5"/>
      <c r="Q862" s="5"/>
    </row>
    <row r="863" ht="14.25" customHeight="1">
      <c r="D863" s="13"/>
      <c r="E863" s="13"/>
      <c r="F863" s="14"/>
      <c r="P863" s="5"/>
      <c r="Q863" s="5"/>
    </row>
    <row r="864" ht="14.25" customHeight="1">
      <c r="D864" s="13"/>
      <c r="E864" s="13"/>
      <c r="F864" s="14"/>
      <c r="P864" s="5"/>
      <c r="Q864" s="5"/>
    </row>
    <row r="865" ht="14.25" customHeight="1">
      <c r="D865" s="13"/>
      <c r="E865" s="13"/>
      <c r="F865" s="14"/>
      <c r="P865" s="5"/>
      <c r="Q865" s="5"/>
    </row>
    <row r="866" ht="14.25" customHeight="1">
      <c r="D866" s="13"/>
      <c r="E866" s="13"/>
      <c r="F866" s="14"/>
      <c r="P866" s="5"/>
      <c r="Q866" s="5"/>
    </row>
    <row r="867" ht="14.25" customHeight="1">
      <c r="D867" s="13"/>
      <c r="E867" s="13"/>
      <c r="F867" s="14"/>
      <c r="P867" s="5"/>
      <c r="Q867" s="5"/>
    </row>
    <row r="868" ht="14.25" customHeight="1">
      <c r="D868" s="13"/>
      <c r="E868" s="13"/>
      <c r="F868" s="14"/>
      <c r="P868" s="5"/>
      <c r="Q868" s="5"/>
    </row>
    <row r="869" ht="14.25" customHeight="1">
      <c r="D869" s="13"/>
      <c r="E869" s="13"/>
      <c r="F869" s="14"/>
      <c r="P869" s="5"/>
      <c r="Q869" s="5"/>
    </row>
    <row r="870" ht="14.25" customHeight="1">
      <c r="D870" s="13"/>
      <c r="E870" s="13"/>
      <c r="F870" s="14"/>
      <c r="P870" s="5"/>
      <c r="Q870" s="5"/>
    </row>
    <row r="871" ht="14.25" customHeight="1">
      <c r="D871" s="13"/>
      <c r="E871" s="13"/>
      <c r="F871" s="14"/>
      <c r="P871" s="5"/>
      <c r="Q871" s="5"/>
    </row>
    <row r="872" ht="14.25" customHeight="1">
      <c r="D872" s="13"/>
      <c r="E872" s="13"/>
      <c r="F872" s="14"/>
      <c r="P872" s="5"/>
      <c r="Q872" s="5"/>
    </row>
    <row r="873" ht="14.25" customHeight="1">
      <c r="D873" s="13"/>
      <c r="E873" s="13"/>
      <c r="F873" s="14"/>
      <c r="P873" s="5"/>
      <c r="Q873" s="5"/>
    </row>
    <row r="874" ht="14.25" customHeight="1">
      <c r="D874" s="13"/>
      <c r="E874" s="13"/>
      <c r="F874" s="14"/>
      <c r="P874" s="5"/>
      <c r="Q874" s="5"/>
    </row>
    <row r="875" ht="14.25" customHeight="1">
      <c r="D875" s="13"/>
      <c r="E875" s="13"/>
      <c r="F875" s="14"/>
      <c r="P875" s="5"/>
      <c r="Q875" s="5"/>
    </row>
    <row r="876" ht="14.25" customHeight="1">
      <c r="D876" s="13"/>
      <c r="E876" s="13"/>
      <c r="F876" s="14"/>
      <c r="P876" s="5"/>
      <c r="Q876" s="5"/>
    </row>
    <row r="877" ht="14.25" customHeight="1">
      <c r="D877" s="13"/>
      <c r="E877" s="13"/>
      <c r="F877" s="14"/>
      <c r="P877" s="5"/>
      <c r="Q877" s="5"/>
    </row>
    <row r="878" ht="14.25" customHeight="1">
      <c r="D878" s="13"/>
      <c r="E878" s="13"/>
      <c r="F878" s="14"/>
      <c r="P878" s="5"/>
      <c r="Q878" s="5"/>
    </row>
    <row r="879" ht="14.25" customHeight="1">
      <c r="D879" s="13"/>
      <c r="E879" s="13"/>
      <c r="F879" s="14"/>
      <c r="P879" s="5"/>
      <c r="Q879" s="5"/>
    </row>
    <row r="880" ht="14.25" customHeight="1">
      <c r="D880" s="13"/>
      <c r="E880" s="13"/>
      <c r="F880" s="14"/>
      <c r="P880" s="5"/>
      <c r="Q880" s="5"/>
    </row>
    <row r="881" ht="14.25" customHeight="1">
      <c r="D881" s="13"/>
      <c r="E881" s="13"/>
      <c r="F881" s="14"/>
      <c r="P881" s="5"/>
      <c r="Q881" s="5"/>
    </row>
    <row r="882" ht="14.25" customHeight="1">
      <c r="D882" s="13"/>
      <c r="E882" s="13"/>
      <c r="F882" s="14"/>
      <c r="P882" s="5"/>
      <c r="Q882" s="5"/>
    </row>
    <row r="883" ht="14.25" customHeight="1">
      <c r="D883" s="13"/>
      <c r="E883" s="13"/>
      <c r="F883" s="14"/>
      <c r="P883" s="5"/>
      <c r="Q883" s="5"/>
    </row>
    <row r="884" ht="14.25" customHeight="1">
      <c r="D884" s="13"/>
      <c r="E884" s="13"/>
      <c r="F884" s="14"/>
      <c r="P884" s="5"/>
      <c r="Q884" s="5"/>
    </row>
    <row r="885" ht="14.25" customHeight="1">
      <c r="D885" s="13"/>
      <c r="E885" s="13"/>
      <c r="F885" s="14"/>
      <c r="P885" s="5"/>
      <c r="Q885" s="5"/>
    </row>
    <row r="886" ht="14.25" customHeight="1">
      <c r="D886" s="13"/>
      <c r="E886" s="13"/>
      <c r="F886" s="14"/>
      <c r="P886" s="5"/>
      <c r="Q886" s="5"/>
    </row>
    <row r="887" ht="14.25" customHeight="1">
      <c r="D887" s="13"/>
      <c r="E887" s="13"/>
      <c r="F887" s="14"/>
      <c r="P887" s="5"/>
      <c r="Q887" s="5"/>
    </row>
    <row r="888" ht="14.25" customHeight="1">
      <c r="D888" s="13"/>
      <c r="E888" s="13"/>
      <c r="F888" s="14"/>
      <c r="P888" s="5"/>
      <c r="Q888" s="5"/>
    </row>
    <row r="889" ht="14.25" customHeight="1">
      <c r="D889" s="13"/>
      <c r="E889" s="13"/>
      <c r="F889" s="14"/>
      <c r="P889" s="5"/>
      <c r="Q889" s="5"/>
    </row>
    <row r="890" ht="14.25" customHeight="1">
      <c r="D890" s="13"/>
      <c r="E890" s="13"/>
      <c r="F890" s="14"/>
      <c r="P890" s="5"/>
      <c r="Q890" s="5"/>
    </row>
    <row r="891" ht="14.25" customHeight="1">
      <c r="D891" s="13"/>
      <c r="E891" s="13"/>
      <c r="F891" s="14"/>
      <c r="P891" s="5"/>
      <c r="Q891" s="5"/>
    </row>
    <row r="892" ht="14.25" customHeight="1">
      <c r="D892" s="13"/>
      <c r="E892" s="13"/>
      <c r="F892" s="14"/>
      <c r="P892" s="5"/>
      <c r="Q892" s="5"/>
    </row>
    <row r="893" ht="14.25" customHeight="1">
      <c r="D893" s="13"/>
      <c r="E893" s="13"/>
      <c r="F893" s="14"/>
      <c r="P893" s="5"/>
      <c r="Q893" s="5"/>
    </row>
    <row r="894" ht="14.25" customHeight="1">
      <c r="D894" s="13"/>
      <c r="E894" s="13"/>
      <c r="F894" s="14"/>
      <c r="P894" s="5"/>
      <c r="Q894" s="5"/>
    </row>
    <row r="895" ht="14.25" customHeight="1">
      <c r="D895" s="13"/>
      <c r="E895" s="13"/>
      <c r="F895" s="14"/>
      <c r="P895" s="5"/>
      <c r="Q895" s="5"/>
    </row>
    <row r="896" ht="14.25" customHeight="1">
      <c r="D896" s="13"/>
      <c r="E896" s="13"/>
      <c r="F896" s="14"/>
      <c r="P896" s="5"/>
      <c r="Q896" s="5"/>
    </row>
    <row r="897" ht="14.25" customHeight="1">
      <c r="D897" s="13"/>
      <c r="E897" s="13"/>
      <c r="F897" s="14"/>
      <c r="P897" s="5"/>
      <c r="Q897" s="5"/>
    </row>
    <row r="898" ht="14.25" customHeight="1">
      <c r="D898" s="13"/>
      <c r="E898" s="13"/>
      <c r="F898" s="14"/>
      <c r="P898" s="5"/>
      <c r="Q898" s="5"/>
    </row>
    <row r="899" ht="14.25" customHeight="1">
      <c r="D899" s="13"/>
      <c r="E899" s="13"/>
      <c r="F899" s="14"/>
      <c r="P899" s="5"/>
      <c r="Q899" s="5"/>
    </row>
    <row r="900" ht="14.25" customHeight="1">
      <c r="D900" s="13"/>
      <c r="E900" s="13"/>
      <c r="F900" s="14"/>
      <c r="P900" s="5"/>
      <c r="Q900" s="5"/>
    </row>
    <row r="901" ht="14.25" customHeight="1">
      <c r="D901" s="13"/>
      <c r="E901" s="13"/>
      <c r="F901" s="14"/>
      <c r="P901" s="5"/>
      <c r="Q901" s="5"/>
    </row>
    <row r="902" ht="14.25" customHeight="1">
      <c r="D902" s="13"/>
      <c r="E902" s="13"/>
      <c r="F902" s="14"/>
      <c r="P902" s="5"/>
      <c r="Q902" s="5"/>
    </row>
    <row r="903" ht="14.25" customHeight="1">
      <c r="D903" s="13"/>
      <c r="E903" s="13"/>
      <c r="F903" s="14"/>
      <c r="P903" s="5"/>
      <c r="Q903" s="5"/>
    </row>
    <row r="904" ht="14.25" customHeight="1">
      <c r="D904" s="13"/>
      <c r="E904" s="13"/>
      <c r="F904" s="14"/>
      <c r="P904" s="5"/>
      <c r="Q904" s="5"/>
    </row>
    <row r="905" ht="14.25" customHeight="1">
      <c r="D905" s="13"/>
      <c r="E905" s="13"/>
      <c r="F905" s="14"/>
      <c r="P905" s="5"/>
      <c r="Q905" s="5"/>
    </row>
    <row r="906" ht="14.25" customHeight="1">
      <c r="D906" s="13"/>
      <c r="E906" s="13"/>
      <c r="F906" s="14"/>
      <c r="P906" s="5"/>
      <c r="Q906" s="5"/>
    </row>
    <row r="907" ht="14.25" customHeight="1">
      <c r="D907" s="13"/>
      <c r="E907" s="13"/>
      <c r="F907" s="14"/>
      <c r="P907" s="5"/>
      <c r="Q907" s="5"/>
    </row>
    <row r="908" ht="14.25" customHeight="1">
      <c r="D908" s="13"/>
      <c r="E908" s="13"/>
      <c r="F908" s="14"/>
      <c r="P908" s="5"/>
      <c r="Q908" s="5"/>
    </row>
    <row r="909" ht="14.25" customHeight="1">
      <c r="D909" s="13"/>
      <c r="E909" s="13"/>
      <c r="F909" s="14"/>
      <c r="P909" s="5"/>
      <c r="Q909" s="5"/>
    </row>
    <row r="910" ht="14.25" customHeight="1">
      <c r="D910" s="13"/>
      <c r="E910" s="13"/>
      <c r="F910" s="14"/>
      <c r="P910" s="5"/>
      <c r="Q910" s="5"/>
    </row>
    <row r="911" ht="14.25" customHeight="1">
      <c r="D911" s="13"/>
      <c r="E911" s="13"/>
      <c r="F911" s="14"/>
      <c r="P911" s="5"/>
      <c r="Q911" s="5"/>
    </row>
    <row r="912" ht="14.25" customHeight="1">
      <c r="D912" s="13"/>
      <c r="E912" s="13"/>
      <c r="F912" s="14"/>
      <c r="P912" s="5"/>
      <c r="Q912" s="5"/>
    </row>
    <row r="913" ht="14.25" customHeight="1">
      <c r="D913" s="13"/>
      <c r="E913" s="13"/>
      <c r="F913" s="14"/>
      <c r="P913" s="5"/>
      <c r="Q913" s="5"/>
    </row>
    <row r="914" ht="14.25" customHeight="1">
      <c r="D914" s="13"/>
      <c r="E914" s="13"/>
      <c r="F914" s="14"/>
      <c r="P914" s="5"/>
      <c r="Q914" s="5"/>
    </row>
    <row r="915" ht="14.25" customHeight="1">
      <c r="D915" s="13"/>
      <c r="E915" s="13"/>
      <c r="F915" s="14"/>
      <c r="P915" s="5"/>
      <c r="Q915" s="5"/>
    </row>
    <row r="916" ht="14.25" customHeight="1">
      <c r="D916" s="13"/>
      <c r="E916" s="13"/>
      <c r="F916" s="14"/>
      <c r="P916" s="5"/>
      <c r="Q916" s="5"/>
    </row>
    <row r="917" ht="14.25" customHeight="1">
      <c r="D917" s="13"/>
      <c r="E917" s="13"/>
      <c r="F917" s="14"/>
      <c r="P917" s="5"/>
      <c r="Q917" s="5"/>
    </row>
    <row r="918" ht="14.25" customHeight="1">
      <c r="D918" s="13"/>
      <c r="E918" s="13"/>
      <c r="F918" s="14"/>
      <c r="P918" s="5"/>
      <c r="Q918" s="5"/>
    </row>
    <row r="919" ht="14.25" customHeight="1">
      <c r="D919" s="13"/>
      <c r="E919" s="13"/>
      <c r="F919" s="14"/>
      <c r="P919" s="5"/>
      <c r="Q919" s="5"/>
    </row>
    <row r="920" ht="14.25" customHeight="1">
      <c r="D920" s="13"/>
      <c r="E920" s="13"/>
      <c r="F920" s="14"/>
      <c r="P920" s="5"/>
      <c r="Q920" s="5"/>
    </row>
    <row r="921" ht="14.25" customHeight="1">
      <c r="D921" s="13"/>
      <c r="E921" s="13"/>
      <c r="F921" s="14"/>
      <c r="P921" s="5"/>
      <c r="Q921" s="5"/>
    </row>
    <row r="922" ht="14.25" customHeight="1">
      <c r="D922" s="13"/>
      <c r="E922" s="13"/>
      <c r="F922" s="14"/>
      <c r="P922" s="5"/>
      <c r="Q922" s="5"/>
    </row>
    <row r="923" ht="14.25" customHeight="1">
      <c r="D923" s="13"/>
      <c r="E923" s="13"/>
      <c r="F923" s="14"/>
      <c r="P923" s="5"/>
      <c r="Q923" s="5"/>
    </row>
    <row r="924" ht="14.25" customHeight="1">
      <c r="D924" s="13"/>
      <c r="E924" s="13"/>
      <c r="F924" s="14"/>
      <c r="P924" s="5"/>
      <c r="Q924" s="5"/>
    </row>
    <row r="925" ht="14.25" customHeight="1">
      <c r="D925" s="13"/>
      <c r="E925" s="13"/>
      <c r="F925" s="14"/>
      <c r="P925" s="5"/>
      <c r="Q925" s="5"/>
    </row>
    <row r="926" ht="14.25" customHeight="1">
      <c r="D926" s="13"/>
      <c r="E926" s="13"/>
      <c r="F926" s="14"/>
      <c r="P926" s="5"/>
      <c r="Q926" s="5"/>
    </row>
    <row r="927" ht="14.25" customHeight="1">
      <c r="D927" s="13"/>
      <c r="E927" s="13"/>
      <c r="F927" s="14"/>
      <c r="P927" s="5"/>
      <c r="Q927" s="5"/>
    </row>
    <row r="928" ht="14.25" customHeight="1">
      <c r="D928" s="13"/>
      <c r="E928" s="13"/>
      <c r="F928" s="14"/>
      <c r="P928" s="5"/>
      <c r="Q928" s="5"/>
    </row>
    <row r="929" ht="14.25" customHeight="1">
      <c r="D929" s="13"/>
      <c r="E929" s="13"/>
      <c r="F929" s="14"/>
      <c r="P929" s="5"/>
      <c r="Q929" s="5"/>
    </row>
    <row r="930" ht="14.25" customHeight="1">
      <c r="D930" s="13"/>
      <c r="E930" s="13"/>
      <c r="F930" s="14"/>
      <c r="P930" s="5"/>
      <c r="Q930" s="5"/>
    </row>
    <row r="931" ht="14.25" customHeight="1">
      <c r="D931" s="13"/>
      <c r="E931" s="13"/>
      <c r="F931" s="14"/>
      <c r="P931" s="5"/>
      <c r="Q931" s="5"/>
    </row>
    <row r="932" ht="14.25" customHeight="1">
      <c r="D932" s="13"/>
      <c r="E932" s="13"/>
      <c r="F932" s="14"/>
      <c r="P932" s="5"/>
      <c r="Q932" s="5"/>
    </row>
    <row r="933" ht="14.25" customHeight="1">
      <c r="D933" s="13"/>
      <c r="E933" s="13"/>
      <c r="F933" s="14"/>
      <c r="P933" s="5"/>
      <c r="Q933" s="5"/>
    </row>
    <row r="934" ht="14.25" customHeight="1">
      <c r="D934" s="13"/>
      <c r="E934" s="13"/>
      <c r="F934" s="14"/>
      <c r="P934" s="5"/>
      <c r="Q934" s="5"/>
    </row>
    <row r="935" ht="14.25" customHeight="1">
      <c r="D935" s="13"/>
      <c r="E935" s="13"/>
      <c r="F935" s="14"/>
      <c r="P935" s="5"/>
      <c r="Q935" s="5"/>
    </row>
    <row r="936" ht="14.25" customHeight="1">
      <c r="D936" s="13"/>
      <c r="E936" s="13"/>
      <c r="F936" s="14"/>
      <c r="P936" s="5"/>
      <c r="Q936" s="5"/>
    </row>
    <row r="937" ht="14.25" customHeight="1">
      <c r="D937" s="13"/>
      <c r="E937" s="13"/>
      <c r="F937" s="14"/>
      <c r="P937" s="5"/>
      <c r="Q937" s="5"/>
    </row>
    <row r="938" ht="14.25" customHeight="1">
      <c r="D938" s="13"/>
      <c r="E938" s="13"/>
      <c r="F938" s="14"/>
      <c r="P938" s="5"/>
      <c r="Q938" s="5"/>
    </row>
    <row r="939" ht="14.25" customHeight="1">
      <c r="D939" s="13"/>
      <c r="E939" s="13"/>
      <c r="F939" s="14"/>
      <c r="P939" s="5"/>
      <c r="Q939" s="5"/>
    </row>
    <row r="940" ht="14.25" customHeight="1">
      <c r="D940" s="13"/>
      <c r="E940" s="13"/>
      <c r="F940" s="14"/>
      <c r="P940" s="5"/>
      <c r="Q940" s="5"/>
    </row>
    <row r="941" ht="14.25" customHeight="1">
      <c r="D941" s="13"/>
      <c r="E941" s="13"/>
      <c r="F941" s="14"/>
      <c r="P941" s="5"/>
      <c r="Q941" s="5"/>
    </row>
    <row r="942" ht="14.25" customHeight="1">
      <c r="D942" s="13"/>
      <c r="E942" s="13"/>
      <c r="F942" s="14"/>
      <c r="P942" s="5"/>
      <c r="Q942" s="5"/>
    </row>
    <row r="943" ht="14.25" customHeight="1">
      <c r="D943" s="13"/>
      <c r="E943" s="13"/>
      <c r="F943" s="14"/>
      <c r="P943" s="5"/>
      <c r="Q943" s="5"/>
    </row>
    <row r="944" ht="14.25" customHeight="1">
      <c r="D944" s="13"/>
      <c r="E944" s="13"/>
      <c r="F944" s="14"/>
      <c r="P944" s="5"/>
      <c r="Q944" s="5"/>
    </row>
    <row r="945" ht="14.25" customHeight="1">
      <c r="D945" s="13"/>
      <c r="E945" s="13"/>
      <c r="F945" s="14"/>
      <c r="P945" s="5"/>
      <c r="Q945" s="5"/>
    </row>
    <row r="946" ht="14.25" customHeight="1">
      <c r="D946" s="13"/>
      <c r="E946" s="13"/>
      <c r="F946" s="14"/>
      <c r="P946" s="5"/>
      <c r="Q946" s="5"/>
    </row>
    <row r="947" ht="14.25" customHeight="1">
      <c r="D947" s="13"/>
      <c r="E947" s="13"/>
      <c r="F947" s="14"/>
      <c r="P947" s="5"/>
      <c r="Q947" s="5"/>
    </row>
    <row r="948" ht="14.25" customHeight="1">
      <c r="D948" s="13"/>
      <c r="E948" s="13"/>
      <c r="F948" s="14"/>
      <c r="P948" s="5"/>
      <c r="Q948" s="5"/>
    </row>
    <row r="949" ht="14.25" customHeight="1">
      <c r="D949" s="13"/>
      <c r="E949" s="13"/>
      <c r="F949" s="14"/>
      <c r="P949" s="5"/>
      <c r="Q949" s="5"/>
    </row>
    <row r="950" ht="14.25" customHeight="1">
      <c r="D950" s="13"/>
      <c r="E950" s="13"/>
      <c r="F950" s="14"/>
      <c r="P950" s="5"/>
      <c r="Q950" s="5"/>
    </row>
    <row r="951" ht="14.25" customHeight="1">
      <c r="D951" s="13"/>
      <c r="E951" s="13"/>
      <c r="F951" s="14"/>
      <c r="P951" s="5"/>
      <c r="Q951" s="5"/>
    </row>
    <row r="952" ht="14.25" customHeight="1">
      <c r="D952" s="13"/>
      <c r="E952" s="13"/>
      <c r="F952" s="14"/>
      <c r="P952" s="5"/>
      <c r="Q952" s="5"/>
    </row>
    <row r="953" ht="14.25" customHeight="1">
      <c r="D953" s="13"/>
      <c r="E953" s="13"/>
      <c r="F953" s="14"/>
      <c r="P953" s="5"/>
      <c r="Q953" s="5"/>
    </row>
    <row r="954" ht="14.25" customHeight="1">
      <c r="D954" s="13"/>
      <c r="E954" s="13"/>
      <c r="F954" s="14"/>
      <c r="P954" s="5"/>
      <c r="Q954" s="5"/>
    </row>
    <row r="955" ht="14.25" customHeight="1">
      <c r="D955" s="13"/>
      <c r="E955" s="13"/>
      <c r="F955" s="14"/>
      <c r="P955" s="5"/>
      <c r="Q955" s="5"/>
    </row>
    <row r="956" ht="14.25" customHeight="1">
      <c r="D956" s="13"/>
      <c r="E956" s="13"/>
      <c r="F956" s="14"/>
      <c r="P956" s="5"/>
      <c r="Q956" s="5"/>
    </row>
    <row r="957" ht="14.25" customHeight="1">
      <c r="D957" s="13"/>
      <c r="E957" s="13"/>
      <c r="F957" s="14"/>
      <c r="P957" s="5"/>
      <c r="Q957" s="5"/>
    </row>
    <row r="958" ht="14.25" customHeight="1">
      <c r="D958" s="13"/>
      <c r="E958" s="13"/>
      <c r="F958" s="14"/>
      <c r="P958" s="5"/>
      <c r="Q958" s="5"/>
    </row>
    <row r="959" ht="14.25" customHeight="1">
      <c r="D959" s="13"/>
      <c r="E959" s="13"/>
      <c r="F959" s="14"/>
      <c r="P959" s="5"/>
      <c r="Q959" s="5"/>
    </row>
    <row r="960" ht="14.25" customHeight="1">
      <c r="D960" s="13"/>
      <c r="E960" s="13"/>
      <c r="F960" s="14"/>
      <c r="P960" s="5"/>
      <c r="Q960" s="5"/>
    </row>
    <row r="961" ht="14.25" customHeight="1">
      <c r="D961" s="13"/>
      <c r="E961" s="13"/>
      <c r="F961" s="14"/>
      <c r="P961" s="5"/>
      <c r="Q961" s="5"/>
    </row>
    <row r="962" ht="14.25" customHeight="1">
      <c r="D962" s="13"/>
      <c r="E962" s="13"/>
      <c r="F962" s="14"/>
      <c r="P962" s="5"/>
      <c r="Q962" s="5"/>
    </row>
    <row r="963" ht="14.25" customHeight="1">
      <c r="D963" s="13"/>
      <c r="E963" s="13"/>
      <c r="F963" s="14"/>
      <c r="P963" s="5"/>
      <c r="Q963" s="5"/>
    </row>
    <row r="964" ht="14.25" customHeight="1">
      <c r="D964" s="13"/>
      <c r="E964" s="13"/>
      <c r="F964" s="14"/>
      <c r="P964" s="5"/>
      <c r="Q964" s="5"/>
    </row>
    <row r="965" ht="14.25" customHeight="1">
      <c r="D965" s="13"/>
      <c r="E965" s="13"/>
      <c r="F965" s="14"/>
      <c r="P965" s="5"/>
      <c r="Q965" s="5"/>
    </row>
    <row r="966" ht="14.25" customHeight="1">
      <c r="D966" s="13"/>
      <c r="E966" s="13"/>
      <c r="F966" s="14"/>
      <c r="P966" s="5"/>
      <c r="Q966" s="5"/>
    </row>
    <row r="967" ht="14.25" customHeight="1">
      <c r="D967" s="13"/>
      <c r="E967" s="13"/>
      <c r="F967" s="14"/>
      <c r="P967" s="5"/>
      <c r="Q967" s="5"/>
    </row>
    <row r="968" ht="14.25" customHeight="1">
      <c r="D968" s="13"/>
      <c r="E968" s="13"/>
      <c r="F968" s="14"/>
      <c r="P968" s="5"/>
      <c r="Q968" s="5"/>
    </row>
    <row r="969" ht="14.25" customHeight="1">
      <c r="D969" s="13"/>
      <c r="E969" s="13"/>
      <c r="F969" s="14"/>
      <c r="P969" s="5"/>
      <c r="Q969" s="5"/>
    </row>
    <row r="970" ht="14.25" customHeight="1">
      <c r="D970" s="13"/>
      <c r="E970" s="13"/>
      <c r="F970" s="14"/>
      <c r="P970" s="5"/>
      <c r="Q970" s="5"/>
    </row>
    <row r="971" ht="14.25" customHeight="1">
      <c r="D971" s="13"/>
      <c r="E971" s="13"/>
      <c r="F971" s="14"/>
      <c r="P971" s="5"/>
      <c r="Q971" s="5"/>
    </row>
    <row r="972" ht="14.25" customHeight="1">
      <c r="D972" s="13"/>
      <c r="E972" s="13"/>
      <c r="F972" s="14"/>
      <c r="P972" s="5"/>
      <c r="Q972" s="5"/>
    </row>
    <row r="973" ht="14.25" customHeight="1">
      <c r="D973" s="13"/>
      <c r="E973" s="13"/>
      <c r="F973" s="14"/>
      <c r="P973" s="5"/>
      <c r="Q973" s="5"/>
    </row>
    <row r="974" ht="14.25" customHeight="1">
      <c r="D974" s="13"/>
      <c r="E974" s="13"/>
      <c r="F974" s="14"/>
      <c r="P974" s="5"/>
      <c r="Q974" s="5"/>
    </row>
    <row r="975" ht="14.25" customHeight="1">
      <c r="D975" s="13"/>
      <c r="E975" s="13"/>
      <c r="F975" s="14"/>
      <c r="P975" s="5"/>
      <c r="Q975" s="5"/>
    </row>
    <row r="976" ht="14.25" customHeight="1">
      <c r="D976" s="13"/>
      <c r="E976" s="13"/>
      <c r="F976" s="14"/>
      <c r="P976" s="5"/>
      <c r="Q976" s="5"/>
    </row>
    <row r="977" ht="14.25" customHeight="1">
      <c r="D977" s="13"/>
      <c r="E977" s="13"/>
      <c r="F977" s="14"/>
      <c r="P977" s="5"/>
      <c r="Q977" s="5"/>
    </row>
    <row r="978" ht="14.25" customHeight="1">
      <c r="D978" s="13"/>
      <c r="E978" s="13"/>
      <c r="F978" s="14"/>
      <c r="P978" s="5"/>
      <c r="Q978" s="5"/>
    </row>
    <row r="979" ht="14.25" customHeight="1">
      <c r="D979" s="13"/>
      <c r="E979" s="13"/>
      <c r="F979" s="14"/>
      <c r="P979" s="5"/>
      <c r="Q979" s="5"/>
    </row>
    <row r="980" ht="14.25" customHeight="1">
      <c r="D980" s="13"/>
      <c r="E980" s="13"/>
      <c r="F980" s="14"/>
      <c r="P980" s="5"/>
      <c r="Q980" s="5"/>
    </row>
    <row r="981" ht="14.25" customHeight="1">
      <c r="D981" s="13"/>
      <c r="E981" s="13"/>
      <c r="F981" s="14"/>
      <c r="P981" s="5"/>
      <c r="Q981" s="5"/>
    </row>
    <row r="982" ht="14.25" customHeight="1">
      <c r="D982" s="13"/>
      <c r="E982" s="13"/>
      <c r="F982" s="14"/>
      <c r="P982" s="5"/>
      <c r="Q982" s="5"/>
    </row>
    <row r="983" ht="14.25" customHeight="1">
      <c r="D983" s="13"/>
      <c r="E983" s="13"/>
      <c r="F983" s="14"/>
      <c r="P983" s="5"/>
      <c r="Q983" s="5"/>
    </row>
    <row r="984" ht="14.25" customHeight="1">
      <c r="D984" s="13"/>
      <c r="E984" s="13"/>
      <c r="F984" s="14"/>
      <c r="P984" s="5"/>
      <c r="Q984" s="5"/>
    </row>
    <row r="985" ht="14.25" customHeight="1">
      <c r="D985" s="13"/>
      <c r="E985" s="13"/>
      <c r="F985" s="14"/>
      <c r="P985" s="5"/>
      <c r="Q985" s="5"/>
    </row>
    <row r="986" ht="14.25" customHeight="1">
      <c r="D986" s="13"/>
      <c r="E986" s="13"/>
      <c r="F986" s="14"/>
      <c r="P986" s="5"/>
      <c r="Q986" s="5"/>
    </row>
    <row r="987" ht="14.25" customHeight="1">
      <c r="D987" s="13"/>
      <c r="E987" s="13"/>
      <c r="F987" s="14"/>
      <c r="P987" s="5"/>
      <c r="Q987" s="5"/>
    </row>
    <row r="988" ht="14.25" customHeight="1">
      <c r="D988" s="13"/>
      <c r="E988" s="13"/>
      <c r="F988" s="14"/>
      <c r="P988" s="5"/>
      <c r="Q988" s="5"/>
    </row>
    <row r="989" ht="14.25" customHeight="1">
      <c r="D989" s="13"/>
      <c r="E989" s="13"/>
      <c r="F989" s="14"/>
      <c r="P989" s="5"/>
      <c r="Q989" s="5"/>
    </row>
    <row r="990" ht="14.25" customHeight="1">
      <c r="D990" s="13"/>
      <c r="E990" s="13"/>
      <c r="F990" s="14"/>
      <c r="P990" s="5"/>
      <c r="Q990" s="5"/>
    </row>
    <row r="991" ht="14.25" customHeight="1">
      <c r="D991" s="13"/>
      <c r="E991" s="13"/>
      <c r="F991" s="14"/>
      <c r="P991" s="5"/>
      <c r="Q991" s="5"/>
    </row>
    <row r="992" ht="14.25" customHeight="1">
      <c r="D992" s="13"/>
      <c r="E992" s="13"/>
      <c r="F992" s="14"/>
      <c r="P992" s="5"/>
      <c r="Q992" s="5"/>
    </row>
    <row r="993" ht="14.25" customHeight="1">
      <c r="D993" s="13"/>
      <c r="E993" s="13"/>
      <c r="F993" s="14"/>
      <c r="P993" s="5"/>
      <c r="Q993" s="5"/>
    </row>
  </sheetData>
  <autoFilter ref="$A$1:$AE$43">
    <sortState ref="A1:AE43">
      <sortCondition ref="B1:B43"/>
    </sortState>
  </autoFilter>
  <hyperlinks>
    <hyperlink r:id="rId1" ref="U14"/>
    <hyperlink r:id="rId2" ref="U15"/>
    <hyperlink r:id="rId3" ref="U16"/>
    <hyperlink r:id="rId4" ref="U17"/>
  </hyperlinks>
  <printOptions/>
  <pageMargins bottom="0.75" footer="0.0" header="0.0" left="0.7" right="0.7" top="0.75"/>
  <pageSetup orientation="landscape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7" max="7" width="22.86"/>
    <col customWidth="1" min="20" max="20" width="28.57"/>
    <col customWidth="1" min="22" max="22" width="56.57"/>
  </cols>
  <sheetData>
    <row r="1" ht="14.25" customHeight="1">
      <c r="A1" s="1" t="s">
        <v>0</v>
      </c>
      <c r="B1" s="1" t="s">
        <v>1</v>
      </c>
      <c r="C1" s="1" t="s">
        <v>2</v>
      </c>
      <c r="D1" s="15" t="s">
        <v>3</v>
      </c>
      <c r="E1" s="15" t="s">
        <v>4</v>
      </c>
      <c r="F1" s="16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7" t="s">
        <v>15</v>
      </c>
      <c r="Q1" s="1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8"/>
      <c r="X1" s="18"/>
      <c r="Y1" s="18"/>
      <c r="Z1" s="18"/>
      <c r="AA1" s="18"/>
      <c r="AB1" s="18"/>
      <c r="AC1" s="18"/>
      <c r="AD1" s="18"/>
      <c r="AE1" s="18"/>
    </row>
    <row r="2" ht="14.25" customHeight="1">
      <c r="A2" s="2" t="s">
        <v>22</v>
      </c>
      <c r="B2" s="2" t="s">
        <v>61</v>
      </c>
      <c r="C2" s="2">
        <v>41.0</v>
      </c>
      <c r="D2" s="3" t="s">
        <v>62</v>
      </c>
      <c r="E2" s="19" t="s">
        <v>63</v>
      </c>
      <c r="F2" s="6">
        <v>43344.0</v>
      </c>
      <c r="G2" s="7">
        <v>1.0</v>
      </c>
      <c r="H2" s="7" t="s">
        <v>25</v>
      </c>
      <c r="I2" s="2">
        <v>0.0</v>
      </c>
      <c r="J2" s="2">
        <v>0.0</v>
      </c>
      <c r="K2" s="2">
        <v>0.0</v>
      </c>
      <c r="L2" s="2">
        <v>0.0</v>
      </c>
      <c r="M2" s="2">
        <v>0.0</v>
      </c>
      <c r="N2" s="2">
        <v>0.0</v>
      </c>
      <c r="O2" s="2">
        <v>0.0</v>
      </c>
      <c r="P2" s="5">
        <f>vlookup(D2,'Real lat longs for Adams County'!$A$2:$C$51,2,0)</f>
        <v>39.827749</v>
      </c>
      <c r="Q2" s="5">
        <f>vlookup(D2,'Real lat longs for Adams County'!$A$2:$C$51,3,0)</f>
        <v>-104.932923</v>
      </c>
      <c r="R2" s="2">
        <v>39.83363509</v>
      </c>
      <c r="S2" s="2">
        <v>-104.9270369</v>
      </c>
      <c r="T2" s="2" t="s">
        <v>26</v>
      </c>
      <c r="U2" s="2"/>
      <c r="V2" s="2" t="s">
        <v>27</v>
      </c>
    </row>
    <row r="3" ht="14.25" customHeight="1">
      <c r="A3" s="2" t="s">
        <v>22</v>
      </c>
      <c r="B3" s="2" t="s">
        <v>61</v>
      </c>
      <c r="C3" s="2">
        <v>38.0</v>
      </c>
      <c r="D3" s="3" t="s">
        <v>64</v>
      </c>
      <c r="E3" s="19" t="s">
        <v>63</v>
      </c>
      <c r="F3" s="6">
        <v>43536.0</v>
      </c>
      <c r="G3" s="7">
        <v>1.0</v>
      </c>
      <c r="H3" s="7" t="s">
        <v>25</v>
      </c>
      <c r="I3" s="2">
        <v>91.7</v>
      </c>
      <c r="J3" s="2">
        <v>0.0282</v>
      </c>
      <c r="K3" s="2">
        <v>0.0635</v>
      </c>
      <c r="L3" s="2">
        <v>0.0</v>
      </c>
      <c r="M3" s="2">
        <v>28.2</v>
      </c>
      <c r="N3" s="2">
        <v>63.5</v>
      </c>
      <c r="O3" s="2">
        <v>0.0</v>
      </c>
      <c r="P3" s="5">
        <f>vlookup(D3,'Real lat longs for Adams County'!$A$2:$C$51,2,0)</f>
        <v>39.807789</v>
      </c>
      <c r="Q3" s="5">
        <f>vlookup(D3,'Real lat longs for Adams County'!$A$2:$C$51,3,0)</f>
        <v>-104.920552</v>
      </c>
      <c r="R3" s="2">
        <v>39.81625749</v>
      </c>
      <c r="S3" s="2">
        <v>-104.9120835</v>
      </c>
      <c r="T3" s="2" t="s">
        <v>26</v>
      </c>
      <c r="U3" s="2"/>
      <c r="V3" s="2" t="s">
        <v>27</v>
      </c>
    </row>
    <row r="4" ht="14.25" customHeight="1">
      <c r="A4" s="2" t="s">
        <v>22</v>
      </c>
      <c r="B4" s="2" t="s">
        <v>61</v>
      </c>
      <c r="C4" s="2">
        <v>36.0</v>
      </c>
      <c r="D4" s="3" t="s">
        <v>65</v>
      </c>
      <c r="E4" s="19" t="s">
        <v>63</v>
      </c>
      <c r="F4" s="6">
        <v>43536.0</v>
      </c>
      <c r="G4" s="7">
        <v>1.0</v>
      </c>
      <c r="H4" s="7" t="s">
        <v>25</v>
      </c>
      <c r="I4" s="2">
        <v>96.6</v>
      </c>
      <c r="J4" s="2">
        <v>0.0155</v>
      </c>
      <c r="K4" s="2">
        <v>0.0811</v>
      </c>
      <c r="L4" s="2">
        <v>0.0</v>
      </c>
      <c r="M4" s="2">
        <v>15.5</v>
      </c>
      <c r="N4" s="2">
        <v>81.10000000000001</v>
      </c>
      <c r="O4" s="2">
        <v>0.0</v>
      </c>
      <c r="P4" s="5">
        <f>vlookup(D4,'Real lat longs for Adams County'!$A$2:$C$51,2,0)</f>
        <v>39.809909</v>
      </c>
      <c r="Q4" s="5">
        <f>vlookup(D4,'Real lat longs for Adams County'!$A$2:$C$51,3,0)</f>
        <v>-104.90734</v>
      </c>
      <c r="R4" s="2">
        <v>39.81789995</v>
      </c>
      <c r="S4" s="2">
        <v>-104.899349</v>
      </c>
      <c r="T4" s="2" t="s">
        <v>26</v>
      </c>
      <c r="U4" s="2"/>
      <c r="V4" s="2" t="s">
        <v>27</v>
      </c>
    </row>
    <row r="5">
      <c r="A5" s="2" t="s">
        <v>22</v>
      </c>
      <c r="B5" s="2" t="s">
        <v>61</v>
      </c>
      <c r="C5" s="2">
        <v>37.0</v>
      </c>
      <c r="D5" s="3" t="s">
        <v>66</v>
      </c>
      <c r="E5" s="19" t="s">
        <v>63</v>
      </c>
      <c r="F5" s="6">
        <v>43536.0</v>
      </c>
      <c r="G5" s="7">
        <v>1.0</v>
      </c>
      <c r="H5" s="7" t="s">
        <v>25</v>
      </c>
      <c r="I5" s="2">
        <v>0.0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5">
        <f>vlookup(D5,'Real lat longs for Adams County'!$A$2:$C$51,2,0)</f>
        <v>39.81773</v>
      </c>
      <c r="Q5" s="5">
        <f>vlookup(D5,'Real lat longs for Adams County'!$A$2:$C$51,3,0)</f>
        <v>-104.941464</v>
      </c>
      <c r="R5" s="2">
        <v>39.82420763</v>
      </c>
      <c r="S5" s="2">
        <v>-104.9349864</v>
      </c>
      <c r="T5" s="2" t="s">
        <v>26</v>
      </c>
      <c r="U5" s="2"/>
      <c r="V5" s="2" t="s">
        <v>27</v>
      </c>
    </row>
    <row r="6" ht="14.25" customHeight="1">
      <c r="A6" s="2" t="s">
        <v>22</v>
      </c>
      <c r="B6" s="2" t="s">
        <v>61</v>
      </c>
      <c r="C6" s="2">
        <v>42.0</v>
      </c>
      <c r="D6" s="3" t="s">
        <v>67</v>
      </c>
      <c r="E6" s="19" t="s">
        <v>63</v>
      </c>
      <c r="F6" s="6">
        <v>43344.0</v>
      </c>
      <c r="G6" s="7">
        <v>1.0</v>
      </c>
      <c r="H6" s="7" t="s">
        <v>25</v>
      </c>
      <c r="I6" s="2">
        <v>71.3</v>
      </c>
      <c r="J6" s="2">
        <v>0.0142</v>
      </c>
      <c r="K6" s="2">
        <v>0.0571</v>
      </c>
      <c r="L6" s="2">
        <v>0.0</v>
      </c>
      <c r="M6" s="2">
        <v>14.200000000000001</v>
      </c>
      <c r="N6" s="2">
        <v>57.1</v>
      </c>
      <c r="O6" s="2">
        <v>0.0</v>
      </c>
      <c r="P6" s="5">
        <f>vlookup(D6,'Real lat longs for Adams County'!$A$2:$C$51,2,0)</f>
        <v>39.822635</v>
      </c>
      <c r="Q6" s="5">
        <f>vlookup(D6,'Real lat longs for Adams County'!$A$2:$C$51,3,0)</f>
        <v>-104.939185</v>
      </c>
      <c r="R6" s="2">
        <v>39.83096304</v>
      </c>
      <c r="S6" s="2">
        <v>-104.930857</v>
      </c>
      <c r="T6" s="2" t="s">
        <v>26</v>
      </c>
      <c r="U6" s="2"/>
      <c r="V6" s="2" t="s">
        <v>27</v>
      </c>
    </row>
    <row r="7" ht="14.25" customHeight="1">
      <c r="A7" s="2" t="s">
        <v>22</v>
      </c>
      <c r="B7" s="2" t="s">
        <v>61</v>
      </c>
      <c r="C7" s="2">
        <v>39.0</v>
      </c>
      <c r="D7" s="3" t="s">
        <v>68</v>
      </c>
      <c r="E7" s="19" t="s">
        <v>63</v>
      </c>
      <c r="F7" s="6">
        <v>43536.0</v>
      </c>
      <c r="G7" s="7">
        <v>1.0</v>
      </c>
      <c r="H7" s="7" t="s">
        <v>25</v>
      </c>
      <c r="I7" s="2">
        <v>25.7</v>
      </c>
      <c r="J7" s="2">
        <v>0.0107</v>
      </c>
      <c r="K7" s="2">
        <v>0.015</v>
      </c>
      <c r="L7" s="2">
        <v>0.0</v>
      </c>
      <c r="M7" s="2">
        <v>10.7</v>
      </c>
      <c r="N7" s="2">
        <v>15.0</v>
      </c>
      <c r="O7" s="2">
        <v>0.0</v>
      </c>
      <c r="P7" s="5">
        <f>vlookup(D7,'Real lat longs for Adams County'!$A$2:$C$51,2,0)</f>
        <v>39.824142</v>
      </c>
      <c r="Q7" s="5">
        <f>vlookup(D7,'Real lat longs for Adams County'!$A$2:$C$51,3,0)</f>
        <v>-104.934779</v>
      </c>
      <c r="R7" s="2">
        <v>39.82915404</v>
      </c>
      <c r="S7" s="2">
        <v>-104.929767</v>
      </c>
      <c r="T7" s="2" t="s">
        <v>26</v>
      </c>
      <c r="U7" s="2"/>
      <c r="V7" s="2" t="s">
        <v>27</v>
      </c>
    </row>
    <row r="8" ht="14.25" customHeight="1">
      <c r="A8" s="2" t="s">
        <v>22</v>
      </c>
      <c r="B8" s="2" t="s">
        <v>61</v>
      </c>
      <c r="C8" s="2">
        <v>40.0</v>
      </c>
      <c r="D8" s="3" t="s">
        <v>69</v>
      </c>
      <c r="E8" s="19" t="s">
        <v>63</v>
      </c>
      <c r="F8" s="6">
        <v>43536.0</v>
      </c>
      <c r="G8" s="7">
        <v>1.0</v>
      </c>
      <c r="H8" s="7" t="s">
        <v>25</v>
      </c>
      <c r="I8" s="2">
        <v>35.4</v>
      </c>
      <c r="J8" s="2">
        <v>0.0121</v>
      </c>
      <c r="K8" s="2">
        <v>0.0233</v>
      </c>
      <c r="L8" s="2">
        <v>0.0</v>
      </c>
      <c r="M8" s="2">
        <v>12.1</v>
      </c>
      <c r="N8" s="2">
        <v>23.3</v>
      </c>
      <c r="O8" s="2">
        <v>0.0</v>
      </c>
      <c r="P8" s="5">
        <f>vlookup(D8,'Real lat longs for Adams County'!$A$2:$C$51,2,0)</f>
        <v>39.824686</v>
      </c>
      <c r="Q8" s="5">
        <f>vlookup(D8,'Real lat longs for Adams County'!$A$2:$C$51,3,0)</f>
        <v>-104.934298</v>
      </c>
      <c r="R8" s="2">
        <v>39.8297241</v>
      </c>
      <c r="S8" s="2">
        <v>-104.9292599</v>
      </c>
      <c r="T8" s="2" t="s">
        <v>26</v>
      </c>
      <c r="U8" s="2"/>
      <c r="V8" s="2" t="s">
        <v>27</v>
      </c>
    </row>
    <row r="9">
      <c r="F9" s="14"/>
    </row>
    <row r="10">
      <c r="F10" s="14"/>
    </row>
    <row r="11">
      <c r="F11" s="14"/>
    </row>
    <row r="12">
      <c r="F12" s="14"/>
    </row>
    <row r="13">
      <c r="F13" s="14"/>
    </row>
    <row r="14">
      <c r="F14" s="14"/>
    </row>
    <row r="15">
      <c r="F15" s="14"/>
    </row>
    <row r="16">
      <c r="F16" s="14"/>
    </row>
    <row r="17">
      <c r="F17" s="14"/>
    </row>
    <row r="18">
      <c r="F18" s="14"/>
    </row>
    <row r="19">
      <c r="F19" s="14"/>
    </row>
    <row r="20">
      <c r="F20" s="14"/>
    </row>
    <row r="21">
      <c r="F21" s="14"/>
    </row>
    <row r="22">
      <c r="F22" s="14"/>
    </row>
    <row r="23">
      <c r="F23" s="14"/>
    </row>
    <row r="24">
      <c r="F24" s="14"/>
    </row>
    <row r="25">
      <c r="F25" s="14"/>
    </row>
    <row r="26">
      <c r="F26" s="14"/>
    </row>
    <row r="27">
      <c r="F27" s="14"/>
    </row>
    <row r="28">
      <c r="F28" s="14"/>
    </row>
    <row r="29">
      <c r="F29" s="14"/>
    </row>
    <row r="30">
      <c r="F30" s="14"/>
    </row>
    <row r="31">
      <c r="F31" s="14"/>
    </row>
    <row r="32">
      <c r="F32" s="14"/>
    </row>
    <row r="33">
      <c r="F33" s="14"/>
    </row>
    <row r="34">
      <c r="F34" s="14"/>
    </row>
    <row r="35">
      <c r="F35" s="14"/>
    </row>
    <row r="36">
      <c r="F36" s="14"/>
    </row>
    <row r="37">
      <c r="F37" s="14"/>
    </row>
    <row r="38">
      <c r="F38" s="14"/>
    </row>
    <row r="39">
      <c r="F39" s="14"/>
    </row>
    <row r="40">
      <c r="F40" s="14"/>
    </row>
    <row r="41">
      <c r="F41" s="14"/>
    </row>
    <row r="42">
      <c r="F42" s="14"/>
    </row>
    <row r="43">
      <c r="F43" s="14"/>
    </row>
    <row r="44">
      <c r="F44" s="14"/>
    </row>
    <row r="45">
      <c r="F45" s="14"/>
    </row>
    <row r="46">
      <c r="F46" s="14"/>
    </row>
    <row r="47">
      <c r="F47" s="14"/>
    </row>
    <row r="48">
      <c r="F48" s="14"/>
    </row>
    <row r="49">
      <c r="F49" s="14"/>
    </row>
    <row r="50">
      <c r="F50" s="14"/>
    </row>
    <row r="51">
      <c r="F51" s="14"/>
    </row>
    <row r="52">
      <c r="F52" s="14"/>
    </row>
    <row r="53">
      <c r="F53" s="14"/>
    </row>
    <row r="54">
      <c r="F54" s="14"/>
    </row>
    <row r="55">
      <c r="F55" s="14"/>
    </row>
    <row r="56">
      <c r="F56" s="14"/>
    </row>
    <row r="57">
      <c r="F57" s="14"/>
    </row>
    <row r="58">
      <c r="F58" s="14"/>
    </row>
    <row r="59">
      <c r="F59" s="14"/>
    </row>
    <row r="60">
      <c r="F60" s="14"/>
    </row>
    <row r="61">
      <c r="F61" s="14"/>
    </row>
    <row r="62">
      <c r="F62" s="14"/>
    </row>
    <row r="63">
      <c r="F63" s="14"/>
    </row>
    <row r="64">
      <c r="F64" s="14"/>
    </row>
    <row r="65">
      <c r="F65" s="14"/>
    </row>
    <row r="66">
      <c r="F66" s="14"/>
    </row>
    <row r="67">
      <c r="F67" s="14"/>
    </row>
    <row r="68">
      <c r="F68" s="14"/>
    </row>
    <row r="69">
      <c r="F69" s="14"/>
    </row>
    <row r="70">
      <c r="F70" s="14"/>
    </row>
    <row r="71">
      <c r="F71" s="14"/>
    </row>
    <row r="72">
      <c r="F72" s="14"/>
    </row>
    <row r="73">
      <c r="F73" s="14"/>
    </row>
    <row r="74">
      <c r="F74" s="14"/>
    </row>
    <row r="75">
      <c r="F75" s="14"/>
    </row>
    <row r="76">
      <c r="F76" s="14"/>
    </row>
    <row r="77">
      <c r="F77" s="14"/>
    </row>
    <row r="78">
      <c r="F78" s="14"/>
    </row>
    <row r="79">
      <c r="F79" s="14"/>
    </row>
    <row r="80">
      <c r="F80" s="14"/>
    </row>
    <row r="81">
      <c r="F81" s="14"/>
    </row>
    <row r="82">
      <c r="F82" s="14"/>
    </row>
    <row r="83">
      <c r="F83" s="14"/>
    </row>
    <row r="84">
      <c r="F84" s="14"/>
    </row>
    <row r="85">
      <c r="F85" s="14"/>
    </row>
    <row r="86">
      <c r="F86" s="14"/>
    </row>
    <row r="87">
      <c r="F87" s="14"/>
    </row>
    <row r="88">
      <c r="F88" s="14"/>
    </row>
    <row r="89">
      <c r="F89" s="14"/>
    </row>
    <row r="90">
      <c r="F90" s="14"/>
    </row>
    <row r="91">
      <c r="F91" s="14"/>
    </row>
    <row r="92">
      <c r="F92" s="14"/>
    </row>
    <row r="93">
      <c r="F93" s="14"/>
    </row>
    <row r="94">
      <c r="F94" s="14"/>
    </row>
    <row r="95">
      <c r="F95" s="14"/>
    </row>
    <row r="96">
      <c r="F96" s="14"/>
    </row>
    <row r="97">
      <c r="F97" s="14"/>
    </row>
    <row r="98">
      <c r="F98" s="14"/>
    </row>
    <row r="99">
      <c r="F99" s="14"/>
    </row>
    <row r="100">
      <c r="F100" s="14"/>
    </row>
    <row r="101">
      <c r="F101" s="14"/>
    </row>
    <row r="102">
      <c r="F102" s="14"/>
    </row>
    <row r="103">
      <c r="F103" s="14"/>
    </row>
    <row r="104">
      <c r="F104" s="14"/>
    </row>
    <row r="105">
      <c r="F105" s="14"/>
    </row>
    <row r="106">
      <c r="F106" s="14"/>
    </row>
    <row r="107">
      <c r="F107" s="14"/>
    </row>
    <row r="108">
      <c r="F108" s="14"/>
    </row>
    <row r="109">
      <c r="F109" s="14"/>
    </row>
    <row r="110">
      <c r="F110" s="14"/>
    </row>
    <row r="111">
      <c r="F111" s="14"/>
    </row>
    <row r="112">
      <c r="F112" s="14"/>
    </row>
    <row r="113">
      <c r="F113" s="14"/>
    </row>
    <row r="114">
      <c r="F114" s="14"/>
    </row>
    <row r="115">
      <c r="F115" s="14"/>
    </row>
    <row r="116">
      <c r="F116" s="14"/>
    </row>
    <row r="117">
      <c r="F117" s="14"/>
    </row>
    <row r="118">
      <c r="F118" s="14"/>
    </row>
    <row r="119">
      <c r="F119" s="14"/>
    </row>
    <row r="120">
      <c r="F120" s="14"/>
    </row>
    <row r="121">
      <c r="F121" s="14"/>
    </row>
    <row r="122">
      <c r="F122" s="14"/>
    </row>
    <row r="123">
      <c r="F123" s="14"/>
    </row>
    <row r="124">
      <c r="F124" s="14"/>
    </row>
    <row r="125">
      <c r="F125" s="14"/>
    </row>
    <row r="126">
      <c r="F126" s="14"/>
    </row>
    <row r="127">
      <c r="F127" s="14"/>
    </row>
    <row r="128">
      <c r="F128" s="14"/>
    </row>
    <row r="129">
      <c r="F129" s="14"/>
    </row>
    <row r="130">
      <c r="F130" s="14"/>
    </row>
    <row r="131">
      <c r="F131" s="14"/>
    </row>
    <row r="132">
      <c r="F132" s="14"/>
    </row>
    <row r="133">
      <c r="F133" s="14"/>
    </row>
    <row r="134">
      <c r="F134" s="14"/>
    </row>
    <row r="135">
      <c r="F135" s="14"/>
    </row>
    <row r="136">
      <c r="F136" s="14"/>
    </row>
    <row r="137">
      <c r="F137" s="14"/>
    </row>
    <row r="138">
      <c r="F138" s="14"/>
    </row>
    <row r="139">
      <c r="F139" s="14"/>
    </row>
    <row r="140">
      <c r="F140" s="14"/>
    </row>
    <row r="141">
      <c r="F141" s="14"/>
    </row>
    <row r="142">
      <c r="F142" s="14"/>
    </row>
    <row r="143">
      <c r="F143" s="14"/>
    </row>
    <row r="144">
      <c r="F144" s="14"/>
    </row>
    <row r="145">
      <c r="F145" s="14"/>
    </row>
    <row r="146">
      <c r="F146" s="14"/>
    </row>
    <row r="147">
      <c r="F147" s="14"/>
    </row>
    <row r="148">
      <c r="F148" s="14"/>
    </row>
    <row r="149">
      <c r="F149" s="14"/>
    </row>
    <row r="150">
      <c r="F150" s="14"/>
    </row>
    <row r="151">
      <c r="F151" s="14"/>
    </row>
    <row r="152">
      <c r="F152" s="14"/>
    </row>
    <row r="153">
      <c r="F153" s="14"/>
    </row>
    <row r="154">
      <c r="F154" s="14"/>
    </row>
    <row r="155">
      <c r="F155" s="14"/>
    </row>
    <row r="156">
      <c r="F156" s="14"/>
    </row>
    <row r="157">
      <c r="F157" s="14"/>
    </row>
    <row r="158">
      <c r="F158" s="14"/>
    </row>
    <row r="159">
      <c r="F159" s="14"/>
    </row>
    <row r="160">
      <c r="F160" s="14"/>
    </row>
    <row r="161">
      <c r="F161" s="14"/>
    </row>
    <row r="162">
      <c r="F162" s="14"/>
    </row>
    <row r="163">
      <c r="F163" s="14"/>
    </row>
    <row r="164">
      <c r="F164" s="14"/>
    </row>
    <row r="165">
      <c r="F165" s="14"/>
    </row>
    <row r="166">
      <c r="F166" s="14"/>
    </row>
    <row r="167">
      <c r="F167" s="14"/>
    </row>
    <row r="168">
      <c r="F168" s="14"/>
    </row>
    <row r="169">
      <c r="F169" s="14"/>
    </row>
    <row r="170">
      <c r="F170" s="14"/>
    </row>
    <row r="171">
      <c r="F171" s="14"/>
    </row>
    <row r="172">
      <c r="F172" s="14"/>
    </row>
    <row r="173">
      <c r="F173" s="14"/>
    </row>
    <row r="174">
      <c r="F174" s="14"/>
    </row>
    <row r="175">
      <c r="F175" s="14"/>
    </row>
    <row r="176">
      <c r="F176" s="14"/>
    </row>
    <row r="177">
      <c r="F177" s="14"/>
    </row>
    <row r="178">
      <c r="F178" s="14"/>
    </row>
    <row r="179">
      <c r="F179" s="14"/>
    </row>
    <row r="180">
      <c r="F180" s="14"/>
    </row>
    <row r="181">
      <c r="F181" s="14"/>
    </row>
    <row r="182">
      <c r="F182" s="14"/>
    </row>
    <row r="183">
      <c r="F183" s="14"/>
    </row>
    <row r="184">
      <c r="F184" s="14"/>
    </row>
    <row r="185">
      <c r="F185" s="14"/>
    </row>
    <row r="186">
      <c r="F186" s="14"/>
    </row>
    <row r="187">
      <c r="F187" s="14"/>
    </row>
    <row r="188">
      <c r="F188" s="14"/>
    </row>
    <row r="189">
      <c r="F189" s="14"/>
    </row>
    <row r="190">
      <c r="F190" s="14"/>
    </row>
    <row r="191">
      <c r="F191" s="14"/>
    </row>
    <row r="192">
      <c r="F192" s="14"/>
    </row>
    <row r="193">
      <c r="F193" s="14"/>
    </row>
    <row r="194">
      <c r="F194" s="14"/>
    </row>
    <row r="195">
      <c r="F195" s="14"/>
    </row>
    <row r="196">
      <c r="F196" s="14"/>
    </row>
    <row r="197">
      <c r="F197" s="14"/>
    </row>
    <row r="198">
      <c r="F198" s="14"/>
    </row>
    <row r="199">
      <c r="F199" s="14"/>
    </row>
    <row r="200">
      <c r="F200" s="14"/>
    </row>
    <row r="201">
      <c r="F201" s="14"/>
    </row>
    <row r="202">
      <c r="F202" s="14"/>
    </row>
    <row r="203">
      <c r="F203" s="14"/>
    </row>
    <row r="204">
      <c r="F204" s="14"/>
    </row>
    <row r="205">
      <c r="F205" s="14"/>
    </row>
    <row r="206">
      <c r="F206" s="14"/>
    </row>
    <row r="207">
      <c r="F207" s="14"/>
    </row>
    <row r="208">
      <c r="F208" s="14"/>
    </row>
    <row r="209">
      <c r="F209" s="14"/>
    </row>
    <row r="210">
      <c r="F210" s="14"/>
    </row>
    <row r="211">
      <c r="F211" s="14"/>
    </row>
    <row r="212">
      <c r="F212" s="14"/>
    </row>
    <row r="213">
      <c r="F213" s="14"/>
    </row>
    <row r="214">
      <c r="F214" s="14"/>
    </row>
    <row r="215">
      <c r="F215" s="14"/>
    </row>
    <row r="216">
      <c r="F216" s="14"/>
    </row>
    <row r="217">
      <c r="F217" s="14"/>
    </row>
    <row r="218">
      <c r="F218" s="14"/>
    </row>
    <row r="219">
      <c r="F219" s="14"/>
    </row>
    <row r="220">
      <c r="F220" s="14"/>
    </row>
    <row r="221">
      <c r="F221" s="14"/>
    </row>
    <row r="222">
      <c r="F222" s="14"/>
    </row>
    <row r="223">
      <c r="F223" s="14"/>
    </row>
    <row r="224">
      <c r="F224" s="14"/>
    </row>
    <row r="225">
      <c r="F225" s="14"/>
    </row>
    <row r="226">
      <c r="F226" s="14"/>
    </row>
    <row r="227">
      <c r="F227" s="14"/>
    </row>
    <row r="228">
      <c r="F228" s="14"/>
    </row>
    <row r="229">
      <c r="F229" s="14"/>
    </row>
    <row r="230">
      <c r="F230" s="14"/>
    </row>
    <row r="231">
      <c r="F231" s="14"/>
    </row>
    <row r="232">
      <c r="F232" s="14"/>
    </row>
    <row r="233">
      <c r="F233" s="14"/>
    </row>
    <row r="234">
      <c r="F234" s="14"/>
    </row>
    <row r="235">
      <c r="F235" s="14"/>
    </row>
    <row r="236">
      <c r="F236" s="14"/>
    </row>
    <row r="237">
      <c r="F237" s="14"/>
    </row>
    <row r="238">
      <c r="F238" s="14"/>
    </row>
    <row r="239">
      <c r="F239" s="14"/>
    </row>
    <row r="240">
      <c r="F240" s="14"/>
    </row>
    <row r="241">
      <c r="F241" s="14"/>
    </row>
    <row r="242">
      <c r="F242" s="14"/>
    </row>
    <row r="243">
      <c r="F243" s="14"/>
    </row>
    <row r="244">
      <c r="F244" s="14"/>
    </row>
    <row r="245">
      <c r="F245" s="14"/>
    </row>
    <row r="246">
      <c r="F246" s="14"/>
    </row>
    <row r="247">
      <c r="F247" s="14"/>
    </row>
    <row r="248">
      <c r="F248" s="14"/>
    </row>
    <row r="249">
      <c r="F249" s="14"/>
    </row>
    <row r="250">
      <c r="F250" s="14"/>
    </row>
    <row r="251">
      <c r="F251" s="14"/>
    </row>
    <row r="252">
      <c r="F252" s="14"/>
    </row>
    <row r="253">
      <c r="F253" s="14"/>
    </row>
    <row r="254">
      <c r="F254" s="14"/>
    </row>
    <row r="255">
      <c r="F255" s="14"/>
    </row>
    <row r="256">
      <c r="F256" s="14"/>
    </row>
    <row r="257">
      <c r="F257" s="14"/>
    </row>
    <row r="258">
      <c r="F258" s="14"/>
    </row>
    <row r="259">
      <c r="F259" s="14"/>
    </row>
    <row r="260">
      <c r="F260" s="14"/>
    </row>
    <row r="261">
      <c r="F261" s="14"/>
    </row>
    <row r="262">
      <c r="F262" s="14"/>
    </row>
    <row r="263">
      <c r="F263" s="14"/>
    </row>
    <row r="264">
      <c r="F264" s="14"/>
    </row>
    <row r="265">
      <c r="F265" s="14"/>
    </row>
    <row r="266">
      <c r="F266" s="14"/>
    </row>
    <row r="267">
      <c r="F267" s="14"/>
    </row>
    <row r="268">
      <c r="F268" s="14"/>
    </row>
    <row r="269">
      <c r="F269" s="14"/>
    </row>
    <row r="270">
      <c r="F270" s="14"/>
    </row>
    <row r="271">
      <c r="F271" s="14"/>
    </row>
    <row r="272">
      <c r="F272" s="14"/>
    </row>
    <row r="273">
      <c r="F273" s="14"/>
    </row>
    <row r="274">
      <c r="F274" s="14"/>
    </row>
    <row r="275">
      <c r="F275" s="14"/>
    </row>
    <row r="276">
      <c r="F276" s="14"/>
    </row>
    <row r="277">
      <c r="F277" s="14"/>
    </row>
    <row r="278">
      <c r="F278" s="14"/>
    </row>
    <row r="279">
      <c r="F279" s="14"/>
    </row>
    <row r="280">
      <c r="F280" s="14"/>
    </row>
    <row r="281">
      <c r="F281" s="14"/>
    </row>
    <row r="282">
      <c r="F282" s="14"/>
    </row>
    <row r="283">
      <c r="F283" s="14"/>
    </row>
    <row r="284">
      <c r="F284" s="14"/>
    </row>
    <row r="285">
      <c r="F285" s="14"/>
    </row>
    <row r="286">
      <c r="F286" s="14"/>
    </row>
    <row r="287">
      <c r="F287" s="14"/>
    </row>
    <row r="288">
      <c r="F288" s="14"/>
    </row>
    <row r="289">
      <c r="F289" s="14"/>
    </row>
    <row r="290">
      <c r="F290" s="14"/>
    </row>
    <row r="291">
      <c r="F291" s="14"/>
    </row>
    <row r="292">
      <c r="F292" s="14"/>
    </row>
    <row r="293">
      <c r="F293" s="14"/>
    </row>
    <row r="294">
      <c r="F294" s="14"/>
    </row>
    <row r="295">
      <c r="F295" s="14"/>
    </row>
    <row r="296">
      <c r="F296" s="14"/>
    </row>
    <row r="297">
      <c r="F297" s="14"/>
    </row>
    <row r="298">
      <c r="F298" s="14"/>
    </row>
    <row r="299">
      <c r="F299" s="14"/>
    </row>
    <row r="300">
      <c r="F300" s="14"/>
    </row>
    <row r="301">
      <c r="F301" s="14"/>
    </row>
    <row r="302">
      <c r="F302" s="14"/>
    </row>
    <row r="303">
      <c r="F303" s="14"/>
    </row>
    <row r="304">
      <c r="F304" s="14"/>
    </row>
    <row r="305">
      <c r="F305" s="14"/>
    </row>
    <row r="306">
      <c r="F306" s="14"/>
    </row>
    <row r="307">
      <c r="F307" s="14"/>
    </row>
    <row r="308">
      <c r="F308" s="14"/>
    </row>
    <row r="309">
      <c r="F309" s="14"/>
    </row>
    <row r="310">
      <c r="F310" s="14"/>
    </row>
    <row r="311">
      <c r="F311" s="14"/>
    </row>
    <row r="312">
      <c r="F312" s="14"/>
    </row>
    <row r="313">
      <c r="F313" s="14"/>
    </row>
    <row r="314">
      <c r="F314" s="14"/>
    </row>
    <row r="315">
      <c r="F315" s="14"/>
    </row>
    <row r="316">
      <c r="F316" s="14"/>
    </row>
    <row r="317">
      <c r="F317" s="14"/>
    </row>
    <row r="318">
      <c r="F318" s="14"/>
    </row>
    <row r="319">
      <c r="F319" s="14"/>
    </row>
    <row r="320">
      <c r="F320" s="14"/>
    </row>
    <row r="321">
      <c r="F321" s="14"/>
    </row>
    <row r="322">
      <c r="F322" s="14"/>
    </row>
    <row r="323">
      <c r="F323" s="14"/>
    </row>
    <row r="324">
      <c r="F324" s="14"/>
    </row>
    <row r="325">
      <c r="F325" s="14"/>
    </row>
    <row r="326">
      <c r="F326" s="14"/>
    </row>
    <row r="327">
      <c r="F327" s="14"/>
    </row>
    <row r="328">
      <c r="F328" s="14"/>
    </row>
    <row r="329">
      <c r="F329" s="14"/>
    </row>
    <row r="330">
      <c r="F330" s="14"/>
    </row>
    <row r="331">
      <c r="F331" s="14"/>
    </row>
    <row r="332">
      <c r="F332" s="14"/>
    </row>
    <row r="333">
      <c r="F333" s="14"/>
    </row>
    <row r="334">
      <c r="F334" s="14"/>
    </row>
    <row r="335">
      <c r="F335" s="14"/>
    </row>
    <row r="336">
      <c r="F336" s="14"/>
    </row>
    <row r="337">
      <c r="F337" s="14"/>
    </row>
    <row r="338">
      <c r="F338" s="14"/>
    </row>
    <row r="339">
      <c r="F339" s="14"/>
    </row>
    <row r="340">
      <c r="F340" s="14"/>
    </row>
    <row r="341">
      <c r="F341" s="14"/>
    </row>
    <row r="342">
      <c r="F342" s="14"/>
    </row>
    <row r="343">
      <c r="F343" s="14"/>
    </row>
    <row r="344">
      <c r="F344" s="14"/>
    </row>
    <row r="345">
      <c r="F345" s="14"/>
    </row>
    <row r="346">
      <c r="F346" s="14"/>
    </row>
    <row r="347">
      <c r="F347" s="14"/>
    </row>
    <row r="348">
      <c r="F348" s="14"/>
    </row>
    <row r="349">
      <c r="F349" s="14"/>
    </row>
    <row r="350">
      <c r="F350" s="14"/>
    </row>
    <row r="351">
      <c r="F351" s="14"/>
    </row>
    <row r="352">
      <c r="F352" s="14"/>
    </row>
    <row r="353">
      <c r="F353" s="14"/>
    </row>
    <row r="354">
      <c r="F354" s="14"/>
    </row>
    <row r="355">
      <c r="F355" s="14"/>
    </row>
    <row r="356">
      <c r="F356" s="14"/>
    </row>
    <row r="357">
      <c r="F357" s="14"/>
    </row>
    <row r="358">
      <c r="F358" s="14"/>
    </row>
    <row r="359">
      <c r="F359" s="14"/>
    </row>
    <row r="360">
      <c r="F360" s="14"/>
    </row>
    <row r="361">
      <c r="F361" s="14"/>
    </row>
    <row r="362">
      <c r="F362" s="14"/>
    </row>
    <row r="363">
      <c r="F363" s="14"/>
    </row>
    <row r="364">
      <c r="F364" s="14"/>
    </row>
    <row r="365">
      <c r="F365" s="14"/>
    </row>
    <row r="366">
      <c r="F366" s="14"/>
    </row>
    <row r="367">
      <c r="F367" s="14"/>
    </row>
    <row r="368">
      <c r="F368" s="14"/>
    </row>
    <row r="369">
      <c r="F369" s="14"/>
    </row>
    <row r="370">
      <c r="F370" s="14"/>
    </row>
    <row r="371">
      <c r="F371" s="14"/>
    </row>
    <row r="372">
      <c r="F372" s="14"/>
    </row>
    <row r="373">
      <c r="F373" s="14"/>
    </row>
    <row r="374">
      <c r="F374" s="14"/>
    </row>
    <row r="375">
      <c r="F375" s="14"/>
    </row>
    <row r="376">
      <c r="F376" s="14"/>
    </row>
    <row r="377">
      <c r="F377" s="14"/>
    </row>
    <row r="378">
      <c r="F378" s="14"/>
    </row>
    <row r="379">
      <c r="F379" s="14"/>
    </row>
    <row r="380">
      <c r="F380" s="14"/>
    </row>
    <row r="381">
      <c r="F381" s="14"/>
    </row>
    <row r="382">
      <c r="F382" s="14"/>
    </row>
    <row r="383">
      <c r="F383" s="14"/>
    </row>
    <row r="384">
      <c r="F384" s="14"/>
    </row>
    <row r="385">
      <c r="F385" s="14"/>
    </row>
    <row r="386">
      <c r="F386" s="14"/>
    </row>
    <row r="387">
      <c r="F387" s="14"/>
    </row>
    <row r="388">
      <c r="F388" s="14"/>
    </row>
    <row r="389">
      <c r="F389" s="14"/>
    </row>
    <row r="390">
      <c r="F390" s="14"/>
    </row>
    <row r="391">
      <c r="F391" s="14"/>
    </row>
    <row r="392">
      <c r="F392" s="14"/>
    </row>
    <row r="393">
      <c r="F393" s="14"/>
    </row>
    <row r="394">
      <c r="F394" s="14"/>
    </row>
    <row r="395">
      <c r="F395" s="14"/>
    </row>
    <row r="396">
      <c r="F396" s="14"/>
    </row>
    <row r="397">
      <c r="F397" s="14"/>
    </row>
    <row r="398">
      <c r="F398" s="14"/>
    </row>
    <row r="399">
      <c r="F399" s="14"/>
    </row>
    <row r="400">
      <c r="F400" s="14"/>
    </row>
    <row r="401">
      <c r="F401" s="14"/>
    </row>
    <row r="402">
      <c r="F402" s="14"/>
    </row>
    <row r="403">
      <c r="F403" s="14"/>
    </row>
    <row r="404">
      <c r="F404" s="14"/>
    </row>
    <row r="405">
      <c r="F405" s="14"/>
    </row>
    <row r="406">
      <c r="F406" s="14"/>
    </row>
    <row r="407">
      <c r="F407" s="14"/>
    </row>
    <row r="408">
      <c r="F408" s="14"/>
    </row>
    <row r="409">
      <c r="F409" s="14"/>
    </row>
    <row r="410">
      <c r="F410" s="14"/>
    </row>
    <row r="411">
      <c r="F411" s="14"/>
    </row>
    <row r="412">
      <c r="F412" s="14"/>
    </row>
    <row r="413">
      <c r="F413" s="14"/>
    </row>
    <row r="414">
      <c r="F414" s="14"/>
    </row>
    <row r="415">
      <c r="F415" s="14"/>
    </row>
    <row r="416">
      <c r="F416" s="14"/>
    </row>
    <row r="417">
      <c r="F417" s="14"/>
    </row>
    <row r="418">
      <c r="F418" s="14"/>
    </row>
    <row r="419">
      <c r="F419" s="14"/>
    </row>
    <row r="420">
      <c r="F420" s="14"/>
    </row>
    <row r="421">
      <c r="F421" s="14"/>
    </row>
    <row r="422">
      <c r="F422" s="14"/>
    </row>
    <row r="423">
      <c r="F423" s="14"/>
    </row>
    <row r="424">
      <c r="F424" s="14"/>
    </row>
    <row r="425">
      <c r="F425" s="14"/>
    </row>
    <row r="426">
      <c r="F426" s="14"/>
    </row>
    <row r="427">
      <c r="F427" s="14"/>
    </row>
    <row r="428">
      <c r="F428" s="14"/>
    </row>
    <row r="429">
      <c r="F429" s="14"/>
    </row>
    <row r="430">
      <c r="F430" s="14"/>
    </row>
    <row r="431">
      <c r="F431" s="14"/>
    </row>
    <row r="432">
      <c r="F432" s="14"/>
    </row>
    <row r="433">
      <c r="F433" s="14"/>
    </row>
    <row r="434">
      <c r="F434" s="14"/>
    </row>
    <row r="435">
      <c r="F435" s="14"/>
    </row>
    <row r="436">
      <c r="F436" s="14"/>
    </row>
    <row r="437">
      <c r="F437" s="14"/>
    </row>
    <row r="438">
      <c r="F438" s="14"/>
    </row>
    <row r="439">
      <c r="F439" s="14"/>
    </row>
    <row r="440">
      <c r="F440" s="14"/>
    </row>
    <row r="441">
      <c r="F441" s="14"/>
    </row>
    <row r="442">
      <c r="F442" s="14"/>
    </row>
    <row r="443">
      <c r="F443" s="14"/>
    </row>
    <row r="444">
      <c r="F444" s="14"/>
    </row>
    <row r="445">
      <c r="F445" s="14"/>
    </row>
    <row r="446">
      <c r="F446" s="14"/>
    </row>
    <row r="447">
      <c r="F447" s="14"/>
    </row>
    <row r="448">
      <c r="F448" s="14"/>
    </row>
    <row r="449">
      <c r="F449" s="14"/>
    </row>
    <row r="450">
      <c r="F450" s="14"/>
    </row>
    <row r="451">
      <c r="F451" s="14"/>
    </row>
    <row r="452">
      <c r="F452" s="14"/>
    </row>
    <row r="453">
      <c r="F453" s="14"/>
    </row>
    <row r="454">
      <c r="F454" s="14"/>
    </row>
    <row r="455">
      <c r="F455" s="14"/>
    </row>
    <row r="456">
      <c r="F456" s="14"/>
    </row>
    <row r="457">
      <c r="F457" s="14"/>
    </row>
    <row r="458">
      <c r="F458" s="14"/>
    </row>
    <row r="459">
      <c r="F459" s="14"/>
    </row>
    <row r="460">
      <c r="F460" s="14"/>
    </row>
    <row r="461">
      <c r="F461" s="14"/>
    </row>
    <row r="462">
      <c r="F462" s="14"/>
    </row>
    <row r="463">
      <c r="F463" s="14"/>
    </row>
    <row r="464">
      <c r="F464" s="14"/>
    </row>
    <row r="465">
      <c r="F465" s="14"/>
    </row>
    <row r="466">
      <c r="F466" s="14"/>
    </row>
    <row r="467">
      <c r="F467" s="14"/>
    </row>
    <row r="468">
      <c r="F468" s="14"/>
    </row>
    <row r="469">
      <c r="F469" s="14"/>
    </row>
    <row r="470">
      <c r="F470" s="14"/>
    </row>
    <row r="471">
      <c r="F471" s="14"/>
    </row>
    <row r="472">
      <c r="F472" s="14"/>
    </row>
    <row r="473">
      <c r="F473" s="14"/>
    </row>
    <row r="474">
      <c r="F474" s="14"/>
    </row>
    <row r="475">
      <c r="F475" s="14"/>
    </row>
    <row r="476">
      <c r="F476" s="14"/>
    </row>
    <row r="477">
      <c r="F477" s="14"/>
    </row>
    <row r="478">
      <c r="F478" s="14"/>
    </row>
    <row r="479">
      <c r="F479" s="14"/>
    </row>
    <row r="480">
      <c r="F480" s="14"/>
    </row>
    <row r="481">
      <c r="F481" s="14"/>
    </row>
    <row r="482">
      <c r="F482" s="14"/>
    </row>
    <row r="483">
      <c r="F483" s="14"/>
    </row>
    <row r="484">
      <c r="F484" s="14"/>
    </row>
    <row r="485">
      <c r="F485" s="14"/>
    </row>
    <row r="486">
      <c r="F486" s="14"/>
    </row>
    <row r="487">
      <c r="F487" s="14"/>
    </row>
    <row r="488">
      <c r="F488" s="14"/>
    </row>
    <row r="489">
      <c r="F489" s="14"/>
    </row>
    <row r="490">
      <c r="F490" s="14"/>
    </row>
    <row r="491">
      <c r="F491" s="14"/>
    </row>
    <row r="492">
      <c r="F492" s="14"/>
    </row>
    <row r="493">
      <c r="F493" s="14"/>
    </row>
    <row r="494">
      <c r="F494" s="14"/>
    </row>
    <row r="495">
      <c r="F495" s="14"/>
    </row>
    <row r="496">
      <c r="F496" s="14"/>
    </row>
    <row r="497">
      <c r="F497" s="14"/>
    </row>
    <row r="498">
      <c r="F498" s="14"/>
    </row>
    <row r="499">
      <c r="F499" s="14"/>
    </row>
    <row r="500">
      <c r="F500" s="14"/>
    </row>
    <row r="501">
      <c r="F501" s="14"/>
    </row>
    <row r="502">
      <c r="F502" s="14"/>
    </row>
    <row r="503">
      <c r="F503" s="14"/>
    </row>
    <row r="504">
      <c r="F504" s="14"/>
    </row>
    <row r="505">
      <c r="F505" s="14"/>
    </row>
    <row r="506">
      <c r="F506" s="14"/>
    </row>
    <row r="507">
      <c r="F507" s="14"/>
    </row>
    <row r="508">
      <c r="F508" s="14"/>
    </row>
    <row r="509">
      <c r="F509" s="14"/>
    </row>
    <row r="510">
      <c r="F510" s="14"/>
    </row>
    <row r="511">
      <c r="F511" s="14"/>
    </row>
    <row r="512">
      <c r="F512" s="14"/>
    </row>
    <row r="513">
      <c r="F513" s="14"/>
    </row>
    <row r="514">
      <c r="F514" s="14"/>
    </row>
    <row r="515">
      <c r="F515" s="14"/>
    </row>
    <row r="516">
      <c r="F516" s="14"/>
    </row>
    <row r="517">
      <c r="F517" s="14"/>
    </row>
    <row r="518">
      <c r="F518" s="14"/>
    </row>
    <row r="519">
      <c r="F519" s="14"/>
    </row>
    <row r="520">
      <c r="F520" s="14"/>
    </row>
    <row r="521">
      <c r="F521" s="14"/>
    </row>
    <row r="522">
      <c r="F522" s="14"/>
    </row>
    <row r="523">
      <c r="F523" s="14"/>
    </row>
    <row r="524">
      <c r="F524" s="14"/>
    </row>
    <row r="525">
      <c r="F525" s="14"/>
    </row>
    <row r="526">
      <c r="F526" s="14"/>
    </row>
    <row r="527">
      <c r="F527" s="14"/>
    </row>
    <row r="528">
      <c r="F528" s="14"/>
    </row>
    <row r="529">
      <c r="F529" s="14"/>
    </row>
    <row r="530">
      <c r="F530" s="14"/>
    </row>
    <row r="531">
      <c r="F531" s="14"/>
    </row>
    <row r="532">
      <c r="F532" s="14"/>
    </row>
    <row r="533">
      <c r="F533" s="14"/>
    </row>
    <row r="534">
      <c r="F534" s="14"/>
    </row>
    <row r="535">
      <c r="F535" s="14"/>
    </row>
    <row r="536">
      <c r="F536" s="14"/>
    </row>
    <row r="537">
      <c r="F537" s="14"/>
    </row>
    <row r="538">
      <c r="F538" s="14"/>
    </row>
    <row r="539">
      <c r="F539" s="14"/>
    </row>
    <row r="540">
      <c r="F540" s="14"/>
    </row>
    <row r="541">
      <c r="F541" s="14"/>
    </row>
    <row r="542">
      <c r="F542" s="14"/>
    </row>
    <row r="543">
      <c r="F543" s="14"/>
    </row>
    <row r="544">
      <c r="F544" s="14"/>
    </row>
    <row r="545">
      <c r="F545" s="14"/>
    </row>
    <row r="546">
      <c r="F546" s="14"/>
    </row>
    <row r="547">
      <c r="F547" s="14"/>
    </row>
    <row r="548">
      <c r="F548" s="14"/>
    </row>
    <row r="549">
      <c r="F549" s="14"/>
    </row>
    <row r="550">
      <c r="F550" s="14"/>
    </row>
    <row r="551">
      <c r="F551" s="14"/>
    </row>
    <row r="552">
      <c r="F552" s="14"/>
    </row>
    <row r="553">
      <c r="F553" s="14"/>
    </row>
    <row r="554">
      <c r="F554" s="14"/>
    </row>
    <row r="555">
      <c r="F555" s="14"/>
    </row>
    <row r="556">
      <c r="F556" s="14"/>
    </row>
    <row r="557">
      <c r="F557" s="14"/>
    </row>
    <row r="558">
      <c r="F558" s="14"/>
    </row>
    <row r="559">
      <c r="F559" s="14"/>
    </row>
    <row r="560">
      <c r="F560" s="14"/>
    </row>
    <row r="561">
      <c r="F561" s="14"/>
    </row>
    <row r="562">
      <c r="F562" s="14"/>
    </row>
    <row r="563">
      <c r="F563" s="14"/>
    </row>
    <row r="564">
      <c r="F564" s="14"/>
    </row>
    <row r="565">
      <c r="F565" s="14"/>
    </row>
    <row r="566">
      <c r="F566" s="14"/>
    </row>
    <row r="567">
      <c r="F567" s="14"/>
    </row>
    <row r="568">
      <c r="F568" s="14"/>
    </row>
    <row r="569">
      <c r="F569" s="14"/>
    </row>
    <row r="570">
      <c r="F570" s="14"/>
    </row>
    <row r="571">
      <c r="F571" s="14"/>
    </row>
    <row r="572">
      <c r="F572" s="14"/>
    </row>
    <row r="573">
      <c r="F573" s="14"/>
    </row>
    <row r="574">
      <c r="F574" s="14"/>
    </row>
    <row r="575">
      <c r="F575" s="14"/>
    </row>
    <row r="576">
      <c r="F576" s="14"/>
    </row>
    <row r="577">
      <c r="F577" s="14"/>
    </row>
    <row r="578">
      <c r="F578" s="14"/>
    </row>
    <row r="579">
      <c r="F579" s="14"/>
    </row>
    <row r="580">
      <c r="F580" s="14"/>
    </row>
    <row r="581">
      <c r="F581" s="14"/>
    </row>
    <row r="582">
      <c r="F582" s="14"/>
    </row>
    <row r="583">
      <c r="F583" s="14"/>
    </row>
    <row r="584">
      <c r="F584" s="14"/>
    </row>
    <row r="585">
      <c r="F585" s="14"/>
    </row>
    <row r="586">
      <c r="F586" s="14"/>
    </row>
    <row r="587">
      <c r="F587" s="14"/>
    </row>
    <row r="588">
      <c r="F588" s="14"/>
    </row>
    <row r="589">
      <c r="F589" s="14"/>
    </row>
    <row r="590">
      <c r="F590" s="14"/>
    </row>
    <row r="591">
      <c r="F591" s="14"/>
    </row>
    <row r="592">
      <c r="F592" s="14"/>
    </row>
    <row r="593">
      <c r="F593" s="14"/>
    </row>
    <row r="594">
      <c r="F594" s="14"/>
    </row>
    <row r="595">
      <c r="F595" s="14"/>
    </row>
    <row r="596">
      <c r="F596" s="14"/>
    </row>
    <row r="597">
      <c r="F597" s="14"/>
    </row>
    <row r="598">
      <c r="F598" s="14"/>
    </row>
    <row r="599">
      <c r="F599" s="14"/>
    </row>
    <row r="600">
      <c r="F600" s="14"/>
    </row>
    <row r="601">
      <c r="F601" s="14"/>
    </row>
    <row r="602">
      <c r="F602" s="14"/>
    </row>
    <row r="603">
      <c r="F603" s="14"/>
    </row>
    <row r="604">
      <c r="F604" s="14"/>
    </row>
    <row r="605">
      <c r="F605" s="14"/>
    </row>
    <row r="606">
      <c r="F606" s="14"/>
    </row>
    <row r="607">
      <c r="F607" s="14"/>
    </row>
    <row r="608">
      <c r="F608" s="14"/>
    </row>
    <row r="609">
      <c r="F609" s="14"/>
    </row>
    <row r="610">
      <c r="F610" s="14"/>
    </row>
    <row r="611">
      <c r="F611" s="14"/>
    </row>
    <row r="612">
      <c r="F612" s="14"/>
    </row>
    <row r="613">
      <c r="F613" s="14"/>
    </row>
    <row r="614">
      <c r="F614" s="14"/>
    </row>
    <row r="615">
      <c r="F615" s="14"/>
    </row>
    <row r="616">
      <c r="F616" s="14"/>
    </row>
    <row r="617">
      <c r="F617" s="14"/>
    </row>
    <row r="618">
      <c r="F618" s="14"/>
    </row>
    <row r="619">
      <c r="F619" s="14"/>
    </row>
    <row r="620">
      <c r="F620" s="14"/>
    </row>
    <row r="621">
      <c r="F621" s="14"/>
    </row>
    <row r="622">
      <c r="F622" s="14"/>
    </row>
    <row r="623">
      <c r="F623" s="14"/>
    </row>
    <row r="624">
      <c r="F624" s="14"/>
    </row>
    <row r="625">
      <c r="F625" s="14"/>
    </row>
    <row r="626">
      <c r="F626" s="14"/>
    </row>
    <row r="627">
      <c r="F627" s="14"/>
    </row>
    <row r="628">
      <c r="F628" s="14"/>
    </row>
    <row r="629">
      <c r="F629" s="14"/>
    </row>
    <row r="630">
      <c r="F630" s="14"/>
    </row>
    <row r="631">
      <c r="F631" s="14"/>
    </row>
    <row r="632">
      <c r="F632" s="14"/>
    </row>
    <row r="633">
      <c r="F633" s="14"/>
    </row>
    <row r="634">
      <c r="F634" s="14"/>
    </row>
    <row r="635">
      <c r="F635" s="14"/>
    </row>
    <row r="636">
      <c r="F636" s="14"/>
    </row>
    <row r="637">
      <c r="F637" s="14"/>
    </row>
    <row r="638">
      <c r="F638" s="14"/>
    </row>
    <row r="639">
      <c r="F639" s="14"/>
    </row>
    <row r="640">
      <c r="F640" s="14"/>
    </row>
    <row r="641">
      <c r="F641" s="14"/>
    </row>
    <row r="642">
      <c r="F642" s="14"/>
    </row>
    <row r="643">
      <c r="F643" s="14"/>
    </row>
    <row r="644">
      <c r="F644" s="14"/>
    </row>
    <row r="645">
      <c r="F645" s="14"/>
    </row>
    <row r="646">
      <c r="F646" s="14"/>
    </row>
    <row r="647">
      <c r="F647" s="14"/>
    </row>
    <row r="648">
      <c r="F648" s="14"/>
    </row>
    <row r="649">
      <c r="F649" s="14"/>
    </row>
    <row r="650">
      <c r="F650" s="14"/>
    </row>
    <row r="651">
      <c r="F651" s="14"/>
    </row>
    <row r="652">
      <c r="F652" s="14"/>
    </row>
    <row r="653">
      <c r="F653" s="14"/>
    </row>
    <row r="654">
      <c r="F654" s="14"/>
    </row>
    <row r="655">
      <c r="F655" s="14"/>
    </row>
    <row r="656">
      <c r="F656" s="14"/>
    </row>
    <row r="657">
      <c r="F657" s="14"/>
    </row>
    <row r="658">
      <c r="F658" s="14"/>
    </row>
    <row r="659">
      <c r="F659" s="14"/>
    </row>
    <row r="660">
      <c r="F660" s="14"/>
    </row>
    <row r="661">
      <c r="F661" s="14"/>
    </row>
    <row r="662">
      <c r="F662" s="14"/>
    </row>
    <row r="663">
      <c r="F663" s="14"/>
    </row>
    <row r="664">
      <c r="F664" s="14"/>
    </row>
    <row r="665">
      <c r="F665" s="14"/>
    </row>
    <row r="666">
      <c r="F666" s="14"/>
    </row>
    <row r="667">
      <c r="F667" s="14"/>
    </row>
    <row r="668">
      <c r="F668" s="14"/>
    </row>
    <row r="669">
      <c r="F669" s="14"/>
    </row>
    <row r="670">
      <c r="F670" s="14"/>
    </row>
    <row r="671">
      <c r="F671" s="14"/>
    </row>
    <row r="672">
      <c r="F672" s="14"/>
    </row>
    <row r="673">
      <c r="F673" s="14"/>
    </row>
    <row r="674">
      <c r="F674" s="14"/>
    </row>
    <row r="675">
      <c r="F675" s="14"/>
    </row>
    <row r="676">
      <c r="F676" s="14"/>
    </row>
    <row r="677">
      <c r="F677" s="14"/>
    </row>
    <row r="678">
      <c r="F678" s="14"/>
    </row>
    <row r="679">
      <c r="F679" s="14"/>
    </row>
    <row r="680">
      <c r="F680" s="14"/>
    </row>
    <row r="681">
      <c r="F681" s="14"/>
    </row>
    <row r="682">
      <c r="F682" s="14"/>
    </row>
    <row r="683">
      <c r="F683" s="14"/>
    </row>
    <row r="684">
      <c r="F684" s="14"/>
    </row>
    <row r="685">
      <c r="F685" s="14"/>
    </row>
    <row r="686">
      <c r="F686" s="14"/>
    </row>
    <row r="687">
      <c r="F687" s="14"/>
    </row>
    <row r="688">
      <c r="F688" s="14"/>
    </row>
    <row r="689">
      <c r="F689" s="14"/>
    </row>
    <row r="690">
      <c r="F690" s="14"/>
    </row>
    <row r="691">
      <c r="F691" s="14"/>
    </row>
    <row r="692">
      <c r="F692" s="14"/>
    </row>
    <row r="693">
      <c r="F693" s="14"/>
    </row>
    <row r="694">
      <c r="F694" s="14"/>
    </row>
    <row r="695">
      <c r="F695" s="14"/>
    </row>
    <row r="696">
      <c r="F696" s="14"/>
    </row>
    <row r="697">
      <c r="F697" s="14"/>
    </row>
    <row r="698">
      <c r="F698" s="14"/>
    </row>
    <row r="699">
      <c r="F699" s="14"/>
    </row>
    <row r="700">
      <c r="F700" s="14"/>
    </row>
    <row r="701">
      <c r="F701" s="14"/>
    </row>
    <row r="702">
      <c r="F702" s="14"/>
    </row>
    <row r="703">
      <c r="F703" s="14"/>
    </row>
    <row r="704">
      <c r="F704" s="14"/>
    </row>
    <row r="705">
      <c r="F705" s="14"/>
    </row>
    <row r="706">
      <c r="F706" s="14"/>
    </row>
    <row r="707">
      <c r="F707" s="14"/>
    </row>
    <row r="708">
      <c r="F708" s="14"/>
    </row>
    <row r="709">
      <c r="F709" s="14"/>
    </row>
    <row r="710">
      <c r="F710" s="14"/>
    </row>
    <row r="711">
      <c r="F711" s="14"/>
    </row>
    <row r="712">
      <c r="F712" s="14"/>
    </row>
    <row r="713">
      <c r="F713" s="14"/>
    </row>
    <row r="714">
      <c r="F714" s="14"/>
    </row>
    <row r="715">
      <c r="F715" s="14"/>
    </row>
    <row r="716">
      <c r="F716" s="14"/>
    </row>
    <row r="717">
      <c r="F717" s="14"/>
    </row>
    <row r="718">
      <c r="F718" s="14"/>
    </row>
    <row r="719">
      <c r="F719" s="14"/>
    </row>
    <row r="720">
      <c r="F720" s="14"/>
    </row>
    <row r="721">
      <c r="F721" s="14"/>
    </row>
    <row r="722">
      <c r="F722" s="14"/>
    </row>
    <row r="723">
      <c r="F723" s="14"/>
    </row>
    <row r="724">
      <c r="F724" s="14"/>
    </row>
    <row r="725">
      <c r="F725" s="14"/>
    </row>
    <row r="726">
      <c r="F726" s="14"/>
    </row>
    <row r="727">
      <c r="F727" s="14"/>
    </row>
    <row r="728">
      <c r="F728" s="14"/>
    </row>
    <row r="729">
      <c r="F729" s="14"/>
    </row>
    <row r="730">
      <c r="F730" s="14"/>
    </row>
    <row r="731">
      <c r="F731" s="14"/>
    </row>
    <row r="732">
      <c r="F732" s="14"/>
    </row>
    <row r="733">
      <c r="F733" s="14"/>
    </row>
    <row r="734">
      <c r="F734" s="14"/>
    </row>
    <row r="735">
      <c r="F735" s="14"/>
    </row>
    <row r="736">
      <c r="F736" s="14"/>
    </row>
    <row r="737">
      <c r="F737" s="14"/>
    </row>
    <row r="738">
      <c r="F738" s="14"/>
    </row>
    <row r="739">
      <c r="F739" s="14"/>
    </row>
    <row r="740">
      <c r="F740" s="14"/>
    </row>
    <row r="741">
      <c r="F741" s="14"/>
    </row>
    <row r="742">
      <c r="F742" s="14"/>
    </row>
    <row r="743">
      <c r="F743" s="14"/>
    </row>
    <row r="744">
      <c r="F744" s="14"/>
    </row>
    <row r="745">
      <c r="F745" s="14"/>
    </row>
    <row r="746">
      <c r="F746" s="14"/>
    </row>
    <row r="747">
      <c r="F747" s="14"/>
    </row>
    <row r="748">
      <c r="F748" s="14"/>
    </row>
    <row r="749">
      <c r="F749" s="14"/>
    </row>
    <row r="750">
      <c r="F750" s="14"/>
    </row>
    <row r="751">
      <c r="F751" s="14"/>
    </row>
    <row r="752">
      <c r="F752" s="14"/>
    </row>
    <row r="753">
      <c r="F753" s="14"/>
    </row>
    <row r="754">
      <c r="F754" s="14"/>
    </row>
    <row r="755">
      <c r="F755" s="14"/>
    </row>
    <row r="756">
      <c r="F756" s="14"/>
    </row>
    <row r="757">
      <c r="F757" s="14"/>
    </row>
    <row r="758">
      <c r="F758" s="14"/>
    </row>
    <row r="759">
      <c r="F759" s="14"/>
    </row>
    <row r="760">
      <c r="F760" s="14"/>
    </row>
    <row r="761">
      <c r="F761" s="14"/>
    </row>
    <row r="762">
      <c r="F762" s="14"/>
    </row>
    <row r="763">
      <c r="F763" s="14"/>
    </row>
    <row r="764">
      <c r="F764" s="14"/>
    </row>
    <row r="765">
      <c r="F765" s="14"/>
    </row>
    <row r="766">
      <c r="F766" s="14"/>
    </row>
    <row r="767">
      <c r="F767" s="14"/>
    </row>
    <row r="768">
      <c r="F768" s="14"/>
    </row>
    <row r="769">
      <c r="F769" s="14"/>
    </row>
    <row r="770">
      <c r="F770" s="14"/>
    </row>
    <row r="771">
      <c r="F771" s="14"/>
    </row>
    <row r="772">
      <c r="F772" s="14"/>
    </row>
    <row r="773">
      <c r="F773" s="14"/>
    </row>
    <row r="774">
      <c r="F774" s="14"/>
    </row>
    <row r="775">
      <c r="F775" s="14"/>
    </row>
    <row r="776">
      <c r="F776" s="14"/>
    </row>
    <row r="777">
      <c r="F777" s="14"/>
    </row>
    <row r="778">
      <c r="F778" s="14"/>
    </row>
    <row r="779">
      <c r="F779" s="14"/>
    </row>
    <row r="780">
      <c r="F780" s="14"/>
    </row>
    <row r="781">
      <c r="F781" s="14"/>
    </row>
    <row r="782">
      <c r="F782" s="14"/>
    </row>
    <row r="783">
      <c r="F783" s="14"/>
    </row>
    <row r="784">
      <c r="F784" s="14"/>
    </row>
    <row r="785">
      <c r="F785" s="14"/>
    </row>
    <row r="786">
      <c r="F786" s="14"/>
    </row>
    <row r="787">
      <c r="F787" s="14"/>
    </row>
    <row r="788">
      <c r="F788" s="14"/>
    </row>
    <row r="789">
      <c r="F789" s="14"/>
    </row>
    <row r="790">
      <c r="F790" s="14"/>
    </row>
    <row r="791">
      <c r="F791" s="14"/>
    </row>
    <row r="792">
      <c r="F792" s="14"/>
    </row>
    <row r="793">
      <c r="F793" s="14"/>
    </row>
    <row r="794">
      <c r="F794" s="14"/>
    </row>
    <row r="795">
      <c r="F795" s="14"/>
    </row>
    <row r="796">
      <c r="F796" s="14"/>
    </row>
    <row r="797">
      <c r="F797" s="14"/>
    </row>
    <row r="798">
      <c r="F798" s="14"/>
    </row>
    <row r="799">
      <c r="F799" s="14"/>
    </row>
    <row r="800">
      <c r="F800" s="14"/>
    </row>
    <row r="801">
      <c r="F801" s="14"/>
    </row>
    <row r="802">
      <c r="F802" s="14"/>
    </row>
    <row r="803">
      <c r="F803" s="14"/>
    </row>
    <row r="804">
      <c r="F804" s="14"/>
    </row>
    <row r="805">
      <c r="F805" s="14"/>
    </row>
    <row r="806">
      <c r="F806" s="14"/>
    </row>
    <row r="807">
      <c r="F807" s="14"/>
    </row>
    <row r="808">
      <c r="F808" s="14"/>
    </row>
    <row r="809">
      <c r="F809" s="14"/>
    </row>
    <row r="810">
      <c r="F810" s="14"/>
    </row>
    <row r="811">
      <c r="F811" s="14"/>
    </row>
    <row r="812">
      <c r="F812" s="14"/>
    </row>
    <row r="813">
      <c r="F813" s="14"/>
    </row>
    <row r="814">
      <c r="F814" s="14"/>
    </row>
    <row r="815">
      <c r="F815" s="14"/>
    </row>
    <row r="816">
      <c r="F816" s="14"/>
    </row>
    <row r="817">
      <c r="F817" s="14"/>
    </row>
    <row r="818">
      <c r="F818" s="14"/>
    </row>
    <row r="819">
      <c r="F819" s="14"/>
    </row>
    <row r="820">
      <c r="F820" s="14"/>
    </row>
    <row r="821">
      <c r="F821" s="14"/>
    </row>
    <row r="822">
      <c r="F822" s="14"/>
    </row>
    <row r="823">
      <c r="F823" s="14"/>
    </row>
    <row r="824">
      <c r="F824" s="14"/>
    </row>
    <row r="825">
      <c r="F825" s="14"/>
    </row>
    <row r="826">
      <c r="F826" s="14"/>
    </row>
    <row r="827">
      <c r="F827" s="14"/>
    </row>
    <row r="828">
      <c r="F828" s="14"/>
    </row>
    <row r="829">
      <c r="F829" s="14"/>
    </row>
    <row r="830">
      <c r="F830" s="14"/>
    </row>
    <row r="831">
      <c r="F831" s="14"/>
    </row>
    <row r="832">
      <c r="F832" s="14"/>
    </row>
    <row r="833">
      <c r="F833" s="14"/>
    </row>
    <row r="834">
      <c r="F834" s="14"/>
    </row>
    <row r="835">
      <c r="F835" s="14"/>
    </row>
    <row r="836">
      <c r="F836" s="14"/>
    </row>
    <row r="837">
      <c r="F837" s="14"/>
    </row>
    <row r="838">
      <c r="F838" s="14"/>
    </row>
    <row r="839">
      <c r="F839" s="14"/>
    </row>
    <row r="840">
      <c r="F840" s="14"/>
    </row>
    <row r="841">
      <c r="F841" s="14"/>
    </row>
    <row r="842">
      <c r="F842" s="14"/>
    </row>
    <row r="843">
      <c r="F843" s="14"/>
    </row>
    <row r="844">
      <c r="F844" s="14"/>
    </row>
    <row r="845">
      <c r="F845" s="14"/>
    </row>
    <row r="846">
      <c r="F846" s="14"/>
    </row>
    <row r="847">
      <c r="F847" s="14"/>
    </row>
    <row r="848">
      <c r="F848" s="14"/>
    </row>
    <row r="849">
      <c r="F849" s="14"/>
    </row>
    <row r="850">
      <c r="F850" s="14"/>
    </row>
    <row r="851">
      <c r="F851" s="14"/>
    </row>
    <row r="852">
      <c r="F852" s="14"/>
    </row>
    <row r="853">
      <c r="F853" s="14"/>
    </row>
    <row r="854">
      <c r="F854" s="14"/>
    </row>
    <row r="855">
      <c r="F855" s="14"/>
    </row>
    <row r="856">
      <c r="F856" s="14"/>
    </row>
    <row r="857">
      <c r="F857" s="14"/>
    </row>
    <row r="858">
      <c r="F858" s="14"/>
    </row>
    <row r="859">
      <c r="F859" s="14"/>
    </row>
    <row r="860">
      <c r="F860" s="14"/>
    </row>
    <row r="861">
      <c r="F861" s="14"/>
    </row>
    <row r="862">
      <c r="F862" s="14"/>
    </row>
    <row r="863">
      <c r="F863" s="14"/>
    </row>
    <row r="864">
      <c r="F864" s="14"/>
    </row>
    <row r="865">
      <c r="F865" s="14"/>
    </row>
    <row r="866">
      <c r="F866" s="14"/>
    </row>
    <row r="867">
      <c r="F867" s="14"/>
    </row>
    <row r="868">
      <c r="F868" s="14"/>
    </row>
    <row r="869">
      <c r="F869" s="14"/>
    </row>
    <row r="870">
      <c r="F870" s="14"/>
    </row>
    <row r="871">
      <c r="F871" s="14"/>
    </row>
    <row r="872">
      <c r="F872" s="14"/>
    </row>
    <row r="873">
      <c r="F873" s="14"/>
    </row>
    <row r="874">
      <c r="F874" s="14"/>
    </row>
    <row r="875">
      <c r="F875" s="14"/>
    </row>
    <row r="876">
      <c r="F876" s="14"/>
    </row>
    <row r="877">
      <c r="F877" s="14"/>
    </row>
    <row r="878">
      <c r="F878" s="14"/>
    </row>
    <row r="879">
      <c r="F879" s="14"/>
    </row>
    <row r="880">
      <c r="F880" s="14"/>
    </row>
    <row r="881">
      <c r="F881" s="14"/>
    </row>
    <row r="882">
      <c r="F882" s="14"/>
    </row>
    <row r="883">
      <c r="F883" s="14"/>
    </row>
    <row r="884">
      <c r="F884" s="14"/>
    </row>
    <row r="885">
      <c r="F885" s="14"/>
    </row>
    <row r="886">
      <c r="F886" s="14"/>
    </row>
    <row r="887">
      <c r="F887" s="14"/>
    </row>
    <row r="888">
      <c r="F888" s="14"/>
    </row>
    <row r="889">
      <c r="F889" s="14"/>
    </row>
    <row r="890">
      <c r="F890" s="14"/>
    </row>
    <row r="891">
      <c r="F891" s="14"/>
    </row>
    <row r="892">
      <c r="F892" s="14"/>
    </row>
    <row r="893">
      <c r="F893" s="14"/>
    </row>
    <row r="894">
      <c r="F894" s="14"/>
    </row>
    <row r="895">
      <c r="F895" s="14"/>
    </row>
    <row r="896">
      <c r="F896" s="14"/>
    </row>
    <row r="897">
      <c r="F897" s="14"/>
    </row>
    <row r="898">
      <c r="F898" s="14"/>
    </row>
    <row r="899">
      <c r="F899" s="14"/>
    </row>
    <row r="900">
      <c r="F900" s="14"/>
    </row>
    <row r="901">
      <c r="F901" s="14"/>
    </row>
    <row r="902">
      <c r="F902" s="14"/>
    </row>
    <row r="903">
      <c r="F903" s="14"/>
    </row>
    <row r="904">
      <c r="F904" s="14"/>
    </row>
    <row r="905">
      <c r="F905" s="14"/>
    </row>
    <row r="906">
      <c r="F906" s="14"/>
    </row>
    <row r="907">
      <c r="F907" s="14"/>
    </row>
    <row r="908">
      <c r="F908" s="14"/>
    </row>
    <row r="909">
      <c r="F909" s="14"/>
    </row>
    <row r="910">
      <c r="F910" s="14"/>
    </row>
    <row r="911">
      <c r="F911" s="14"/>
    </row>
    <row r="912">
      <c r="F912" s="14"/>
    </row>
    <row r="913">
      <c r="F913" s="14"/>
    </row>
    <row r="914">
      <c r="F914" s="14"/>
    </row>
    <row r="915">
      <c r="F915" s="14"/>
    </row>
    <row r="916">
      <c r="F916" s="14"/>
    </row>
    <row r="917">
      <c r="F917" s="14"/>
    </row>
    <row r="918">
      <c r="F918" s="14"/>
    </row>
    <row r="919">
      <c r="F919" s="14"/>
    </row>
    <row r="920">
      <c r="F920" s="14"/>
    </row>
    <row r="921">
      <c r="F921" s="14"/>
    </row>
    <row r="922">
      <c r="F922" s="14"/>
    </row>
    <row r="923">
      <c r="F923" s="14"/>
    </row>
    <row r="924">
      <c r="F924" s="14"/>
    </row>
    <row r="925">
      <c r="F925" s="14"/>
    </row>
    <row r="926">
      <c r="F926" s="14"/>
    </row>
    <row r="927">
      <c r="F927" s="14"/>
    </row>
    <row r="928">
      <c r="F928" s="14"/>
    </row>
    <row r="929">
      <c r="F929" s="14"/>
    </row>
    <row r="930">
      <c r="F930" s="14"/>
    </row>
    <row r="931">
      <c r="F931" s="14"/>
    </row>
    <row r="932">
      <c r="F932" s="14"/>
    </row>
    <row r="933">
      <c r="F933" s="14"/>
    </row>
    <row r="934">
      <c r="F934" s="14"/>
    </row>
    <row r="935">
      <c r="F935" s="14"/>
    </row>
    <row r="936">
      <c r="F936" s="14"/>
    </row>
    <row r="937">
      <c r="F937" s="14"/>
    </row>
    <row r="938">
      <c r="F938" s="14"/>
    </row>
    <row r="939">
      <c r="F939" s="14"/>
    </row>
    <row r="940">
      <c r="F940" s="14"/>
    </row>
    <row r="941">
      <c r="F941" s="14"/>
    </row>
    <row r="942">
      <c r="F942" s="14"/>
    </row>
    <row r="943">
      <c r="F943" s="14"/>
    </row>
    <row r="944">
      <c r="F944" s="14"/>
    </row>
    <row r="945">
      <c r="F945" s="14"/>
    </row>
    <row r="946">
      <c r="F946" s="14"/>
    </row>
    <row r="947">
      <c r="F947" s="14"/>
    </row>
    <row r="948">
      <c r="F948" s="14"/>
    </row>
    <row r="949">
      <c r="F949" s="14"/>
    </row>
    <row r="950">
      <c r="F950" s="14"/>
    </row>
    <row r="951">
      <c r="F951" s="14"/>
    </row>
    <row r="952">
      <c r="F952" s="14"/>
    </row>
    <row r="953">
      <c r="F953" s="14"/>
    </row>
    <row r="954">
      <c r="F954" s="14"/>
    </row>
    <row r="955">
      <c r="F955" s="14"/>
    </row>
    <row r="956">
      <c r="F956" s="14"/>
    </row>
    <row r="957">
      <c r="F957" s="14"/>
    </row>
    <row r="958">
      <c r="F958" s="14"/>
    </row>
    <row r="959">
      <c r="F959" s="14"/>
    </row>
    <row r="960">
      <c r="F960" s="14"/>
    </row>
    <row r="961">
      <c r="F961" s="14"/>
    </row>
    <row r="962">
      <c r="F962" s="14"/>
    </row>
    <row r="963">
      <c r="F963" s="14"/>
    </row>
    <row r="964">
      <c r="F964" s="14"/>
    </row>
    <row r="965">
      <c r="F965" s="14"/>
    </row>
    <row r="966">
      <c r="F966" s="14"/>
    </row>
    <row r="967">
      <c r="F967" s="14"/>
    </row>
    <row r="968">
      <c r="F968" s="14"/>
    </row>
    <row r="969">
      <c r="F969" s="14"/>
    </row>
    <row r="970">
      <c r="F970" s="14"/>
    </row>
    <row r="971">
      <c r="F971" s="14"/>
    </row>
    <row r="972">
      <c r="F972" s="14"/>
    </row>
    <row r="973">
      <c r="F973" s="14"/>
    </row>
    <row r="974">
      <c r="F974" s="14"/>
    </row>
    <row r="975">
      <c r="F975" s="14"/>
    </row>
    <row r="976">
      <c r="F976" s="14"/>
    </row>
    <row r="977">
      <c r="F977" s="14"/>
    </row>
    <row r="978">
      <c r="F978" s="14"/>
    </row>
    <row r="979">
      <c r="F979" s="14"/>
    </row>
    <row r="980">
      <c r="F980" s="14"/>
    </row>
    <row r="981">
      <c r="F981" s="14"/>
    </row>
    <row r="982">
      <c r="F982" s="14"/>
    </row>
    <row r="983">
      <c r="F983" s="14"/>
    </row>
    <row r="984">
      <c r="F984" s="14"/>
    </row>
    <row r="985">
      <c r="F985" s="14"/>
    </row>
    <row r="986">
      <c r="F986" s="14"/>
    </row>
    <row r="987">
      <c r="F987" s="14"/>
    </row>
    <row r="988">
      <c r="F988" s="14"/>
    </row>
    <row r="989">
      <c r="F989" s="14"/>
    </row>
    <row r="990">
      <c r="F990" s="14"/>
    </row>
    <row r="991">
      <c r="F991" s="14"/>
    </row>
    <row r="992">
      <c r="F992" s="14"/>
    </row>
    <row r="993">
      <c r="F993" s="14"/>
    </row>
    <row r="994">
      <c r="F994" s="14"/>
    </row>
    <row r="995">
      <c r="F995" s="14"/>
    </row>
    <row r="996">
      <c r="F996" s="14"/>
    </row>
    <row r="997">
      <c r="F997" s="14"/>
    </row>
    <row r="998">
      <c r="F998" s="14"/>
    </row>
    <row r="999">
      <c r="F999" s="14"/>
    </row>
    <row r="1000">
      <c r="F1000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71"/>
    <col customWidth="1" min="3" max="3" width="14.29"/>
    <col customWidth="1" min="4" max="5" width="21.57"/>
    <col customWidth="1" min="6" max="6" width="9.57"/>
    <col customWidth="1" min="7" max="9" width="8.71"/>
    <col customWidth="1" min="10" max="10" width="20.86"/>
    <col customWidth="1" min="11" max="16" width="8.71"/>
    <col customWidth="1" min="17" max="17" width="17.71"/>
    <col customWidth="1" min="18" max="18" width="16.29"/>
    <col customWidth="1" min="19" max="19" width="14.14"/>
    <col customWidth="1" min="20" max="20" width="15.71"/>
    <col customWidth="1" min="21" max="21" width="19.57"/>
    <col customWidth="1" min="22" max="22" width="8.71"/>
    <col customWidth="1" min="23" max="23" width="60.14"/>
    <col customWidth="1" min="24" max="32" width="8.71"/>
  </cols>
  <sheetData>
    <row r="1" ht="14.25" customHeight="1">
      <c r="A1" s="1" t="s">
        <v>0</v>
      </c>
      <c r="B1" s="1" t="s">
        <v>1</v>
      </c>
      <c r="C1" s="1" t="s">
        <v>2</v>
      </c>
      <c r="D1" s="15" t="s">
        <v>3</v>
      </c>
      <c r="E1" s="15" t="s">
        <v>4</v>
      </c>
      <c r="F1" s="16" t="s">
        <v>5</v>
      </c>
      <c r="G1" s="1" t="s">
        <v>6</v>
      </c>
      <c r="H1" s="1" t="s">
        <v>7</v>
      </c>
      <c r="I1" s="1" t="s">
        <v>8</v>
      </c>
      <c r="J1" s="18" t="s">
        <v>70</v>
      </c>
      <c r="K1" s="18" t="s">
        <v>9</v>
      </c>
      <c r="L1" s="18" t="s">
        <v>10</v>
      </c>
      <c r="M1" s="18" t="s">
        <v>11</v>
      </c>
      <c r="N1" s="1" t="s">
        <v>12</v>
      </c>
      <c r="O1" s="1" t="s">
        <v>13</v>
      </c>
      <c r="P1" s="1" t="s">
        <v>14</v>
      </c>
      <c r="Q1" s="17" t="s">
        <v>15</v>
      </c>
      <c r="R1" s="17" t="s">
        <v>16</v>
      </c>
      <c r="S1" s="18" t="s">
        <v>17</v>
      </c>
      <c r="T1" s="18" t="s">
        <v>18</v>
      </c>
      <c r="U1" s="1" t="s">
        <v>19</v>
      </c>
      <c r="V1" s="1" t="s">
        <v>20</v>
      </c>
      <c r="W1" s="1" t="s">
        <v>21</v>
      </c>
      <c r="X1" s="18"/>
      <c r="Y1" s="18"/>
      <c r="Z1" s="18"/>
      <c r="AA1" s="18"/>
      <c r="AB1" s="18"/>
      <c r="AC1" s="18"/>
      <c r="AD1" s="18"/>
      <c r="AE1" s="18"/>
      <c r="AF1" s="18"/>
    </row>
    <row r="2" ht="14.25" customHeight="1">
      <c r="A2" s="2" t="s">
        <v>22</v>
      </c>
      <c r="B2" s="20" t="s">
        <v>23</v>
      </c>
      <c r="C2" s="20">
        <v>14.0</v>
      </c>
      <c r="D2" s="20" t="s">
        <v>71</v>
      </c>
      <c r="E2" s="20" t="s">
        <v>72</v>
      </c>
      <c r="F2" s="21">
        <v>43522.0</v>
      </c>
      <c r="G2" s="20">
        <v>1.0</v>
      </c>
      <c r="H2" s="20" t="s">
        <v>25</v>
      </c>
      <c r="I2" s="20">
        <v>29.0</v>
      </c>
      <c r="J2" s="20">
        <v>0.029</v>
      </c>
      <c r="K2" s="20">
        <v>0.019</v>
      </c>
      <c r="L2" s="20">
        <v>0.01</v>
      </c>
      <c r="M2" s="20">
        <v>0.0</v>
      </c>
      <c r="N2" s="20">
        <v>19.0</v>
      </c>
      <c r="O2" s="20">
        <v>10.0</v>
      </c>
      <c r="P2" s="20">
        <v>0.0</v>
      </c>
      <c r="Q2" s="20">
        <f>vlookup(D2,'Real lat longs for Adams County'!$A$2:$C$51,2,0)</f>
        <v>39.754567</v>
      </c>
      <c r="R2" s="20">
        <f>vlookup(D2,'Real lat longs for Adams County'!$A$2:$C$51,3,0)</f>
        <v>-104.879116</v>
      </c>
      <c r="S2" s="20">
        <v>39.76296247</v>
      </c>
      <c r="T2" s="20">
        <v>-104.8707205</v>
      </c>
      <c r="U2" s="20" t="s">
        <v>26</v>
      </c>
      <c r="W2" s="20" t="s">
        <v>27</v>
      </c>
    </row>
    <row r="3" ht="14.25" customHeight="1">
      <c r="A3" s="2" t="s">
        <v>22</v>
      </c>
      <c r="B3" s="20" t="s">
        <v>23</v>
      </c>
      <c r="C3" s="20">
        <v>15.0</v>
      </c>
      <c r="D3" s="20" t="s">
        <v>73</v>
      </c>
      <c r="E3" s="20" t="s">
        <v>72</v>
      </c>
      <c r="F3" s="21">
        <v>43522.0</v>
      </c>
      <c r="G3" s="20">
        <v>1.0</v>
      </c>
      <c r="H3" s="20" t="s">
        <v>25</v>
      </c>
      <c r="I3" s="20">
        <v>61.0</v>
      </c>
      <c r="J3" s="20">
        <v>0.061</v>
      </c>
      <c r="K3" s="20">
        <v>0.015</v>
      </c>
      <c r="L3" s="20">
        <v>0.046</v>
      </c>
      <c r="M3" s="20">
        <v>0.011</v>
      </c>
      <c r="N3" s="20">
        <v>15.0</v>
      </c>
      <c r="O3" s="20">
        <v>46.0</v>
      </c>
      <c r="P3" s="20">
        <v>11.0</v>
      </c>
      <c r="Q3" s="20">
        <f>vlookup(D3,'Real lat longs for Adams County'!$A$2:$C$51,2,0)</f>
        <v>39.767678</v>
      </c>
      <c r="R3" s="20">
        <f>vlookup(D3,'Real lat longs for Adams County'!$A$2:$C$51,3,0)</f>
        <v>-104.875137</v>
      </c>
      <c r="S3" s="20">
        <v>39.77724073</v>
      </c>
      <c r="T3" s="20">
        <v>-104.8655743</v>
      </c>
      <c r="U3" s="20" t="s">
        <v>26</v>
      </c>
      <c r="W3" s="20" t="s">
        <v>27</v>
      </c>
    </row>
    <row r="4" ht="14.25" customHeight="1">
      <c r="A4" s="2" t="s">
        <v>22</v>
      </c>
      <c r="B4" s="20" t="s">
        <v>23</v>
      </c>
      <c r="C4" s="20">
        <v>16.0</v>
      </c>
      <c r="D4" s="20" t="s">
        <v>74</v>
      </c>
      <c r="E4" s="20" t="s">
        <v>72</v>
      </c>
      <c r="F4" s="21">
        <v>43524.0</v>
      </c>
      <c r="G4" s="20">
        <v>1.0</v>
      </c>
      <c r="H4" s="20" t="s">
        <v>25</v>
      </c>
      <c r="I4" s="20">
        <v>52.0</v>
      </c>
      <c r="J4" s="20">
        <v>0.052</v>
      </c>
      <c r="K4" s="20">
        <v>0.02</v>
      </c>
      <c r="L4" s="20">
        <v>0.032</v>
      </c>
      <c r="M4" s="20">
        <v>0.012</v>
      </c>
      <c r="N4" s="20">
        <v>20.0</v>
      </c>
      <c r="O4" s="20">
        <v>32.0</v>
      </c>
      <c r="P4" s="20">
        <v>12.0</v>
      </c>
      <c r="Q4" s="20">
        <f>vlookup(D4,'Real lat longs for Adams County'!$A$2:$C$51,2,0)</f>
        <v>39.762518</v>
      </c>
      <c r="R4" s="20">
        <f>vlookup(D4,'Real lat longs for Adams County'!$A$2:$C$51,3,0)</f>
        <v>-104.8605</v>
      </c>
      <c r="S4" s="20">
        <v>39.76825831</v>
      </c>
      <c r="T4" s="20">
        <v>-104.8547597</v>
      </c>
      <c r="U4" s="20" t="s">
        <v>26</v>
      </c>
      <c r="W4" s="20" t="s">
        <v>27</v>
      </c>
    </row>
    <row r="5" ht="14.25" customHeight="1">
      <c r="A5" s="2" t="s">
        <v>22</v>
      </c>
      <c r="B5" s="20" t="s">
        <v>23</v>
      </c>
      <c r="C5" s="20">
        <v>17.0</v>
      </c>
      <c r="D5" s="20" t="s">
        <v>75</v>
      </c>
      <c r="E5" s="20" t="s">
        <v>72</v>
      </c>
      <c r="F5" s="21">
        <v>43523.0</v>
      </c>
      <c r="G5" s="20">
        <v>1.0</v>
      </c>
      <c r="H5" s="20" t="s">
        <v>25</v>
      </c>
      <c r="I5" s="20">
        <v>159.0</v>
      </c>
      <c r="J5" s="20">
        <v>0.159</v>
      </c>
      <c r="K5" s="20">
        <v>0.03</v>
      </c>
      <c r="L5" s="20">
        <v>0.129</v>
      </c>
      <c r="M5" s="20">
        <v>0.01</v>
      </c>
      <c r="N5" s="20">
        <v>30.0</v>
      </c>
      <c r="O5" s="20">
        <v>129.0</v>
      </c>
      <c r="P5" s="20">
        <v>10.0</v>
      </c>
      <c r="Q5" s="20">
        <f>vlookup(D5,'Real lat longs for Adams County'!$A$2:$C$51,2,0)</f>
        <v>39.771353</v>
      </c>
      <c r="R5" s="20">
        <f>vlookup(D5,'Real lat longs for Adams County'!$A$2:$C$51,3,0)</f>
        <v>-104.886632</v>
      </c>
      <c r="S5" s="20">
        <v>39.7773266</v>
      </c>
      <c r="T5" s="20">
        <v>-104.8806584</v>
      </c>
      <c r="U5" s="20" t="s">
        <v>26</v>
      </c>
      <c r="W5" s="20" t="s">
        <v>27</v>
      </c>
    </row>
    <row r="6" ht="14.25" customHeight="1">
      <c r="A6" s="2" t="s">
        <v>22</v>
      </c>
      <c r="B6" s="20" t="s">
        <v>23</v>
      </c>
      <c r="C6" s="20">
        <v>18.0</v>
      </c>
      <c r="D6" s="20" t="s">
        <v>76</v>
      </c>
      <c r="E6" s="20" t="s">
        <v>72</v>
      </c>
      <c r="F6" s="21">
        <v>43523.0</v>
      </c>
      <c r="G6" s="20">
        <v>1.0</v>
      </c>
      <c r="H6" s="20" t="s">
        <v>25</v>
      </c>
      <c r="I6" s="20">
        <v>47.0</v>
      </c>
      <c r="J6" s="20">
        <v>0.047</v>
      </c>
      <c r="K6" s="20">
        <v>0.015</v>
      </c>
      <c r="L6" s="20">
        <v>0.032</v>
      </c>
      <c r="M6" s="20">
        <v>0.012</v>
      </c>
      <c r="N6" s="20">
        <v>15.0</v>
      </c>
      <c r="O6" s="20">
        <v>32.0</v>
      </c>
      <c r="P6" s="20">
        <v>12.0</v>
      </c>
      <c r="Q6" s="20">
        <f>vlookup(D6,'Real lat longs for Adams County'!$A$2:$C$51,2,0)</f>
        <v>39.77613</v>
      </c>
      <c r="R6" s="20">
        <f>vlookup(D6,'Real lat longs for Adams County'!$A$2:$C$51,3,0)</f>
        <v>-104.896157</v>
      </c>
      <c r="S6" s="20">
        <v>39.78300734</v>
      </c>
      <c r="T6" s="20">
        <v>-104.8892797</v>
      </c>
      <c r="U6" s="20" t="s">
        <v>26</v>
      </c>
      <c r="W6" s="20" t="s">
        <v>27</v>
      </c>
    </row>
    <row r="7" ht="14.25" customHeight="1">
      <c r="F7" s="14"/>
    </row>
    <row r="8" ht="14.25" customHeight="1">
      <c r="F8" s="14"/>
    </row>
    <row r="9" ht="14.25" customHeight="1">
      <c r="F9" s="14"/>
    </row>
    <row r="10" ht="14.25" customHeight="1">
      <c r="F10" s="14"/>
    </row>
    <row r="11" ht="14.25" customHeight="1">
      <c r="F11" s="14"/>
    </row>
    <row r="12" ht="14.25" customHeight="1">
      <c r="F12" s="14"/>
    </row>
    <row r="13" ht="14.25" customHeight="1">
      <c r="F13" s="14"/>
    </row>
    <row r="14" ht="14.25" customHeight="1">
      <c r="F14" s="14"/>
    </row>
    <row r="15" ht="14.25" customHeight="1">
      <c r="F15" s="14"/>
    </row>
    <row r="16" ht="14.25" customHeight="1">
      <c r="F16" s="14"/>
    </row>
    <row r="17" ht="14.25" customHeight="1">
      <c r="F17" s="14"/>
    </row>
    <row r="18" ht="14.25" customHeight="1">
      <c r="F18" s="14"/>
    </row>
    <row r="19" ht="14.25" customHeight="1">
      <c r="F19" s="14"/>
    </row>
    <row r="20" ht="14.25" customHeight="1">
      <c r="F20" s="14"/>
    </row>
    <row r="21" ht="14.25" customHeight="1">
      <c r="F21" s="14"/>
    </row>
    <row r="22" ht="14.25" customHeight="1">
      <c r="F22" s="14"/>
    </row>
    <row r="23" ht="14.25" customHeight="1">
      <c r="F23" s="14"/>
    </row>
    <row r="24" ht="14.25" customHeight="1">
      <c r="F24" s="14"/>
    </row>
    <row r="25" ht="14.25" customHeight="1">
      <c r="F25" s="14"/>
    </row>
    <row r="26" ht="14.25" customHeight="1">
      <c r="F26" s="14"/>
    </row>
    <row r="27" ht="14.25" customHeight="1">
      <c r="F27" s="14"/>
    </row>
    <row r="28" ht="14.25" customHeight="1">
      <c r="F28" s="14"/>
    </row>
    <row r="29" ht="14.25" customHeight="1">
      <c r="F29" s="14"/>
    </row>
    <row r="30" ht="14.25" customHeight="1">
      <c r="F30" s="14"/>
    </row>
    <row r="31" ht="14.25" customHeight="1">
      <c r="F31" s="14"/>
    </row>
    <row r="32" ht="14.25" customHeight="1">
      <c r="F32" s="14"/>
    </row>
    <row r="33" ht="14.25" customHeight="1">
      <c r="F33" s="14"/>
    </row>
    <row r="34" ht="14.25" customHeight="1">
      <c r="F34" s="14"/>
    </row>
    <row r="35" ht="14.25" customHeight="1">
      <c r="F35" s="14"/>
    </row>
    <row r="36" ht="14.25" customHeight="1">
      <c r="F36" s="14"/>
    </row>
    <row r="37" ht="14.25" customHeight="1">
      <c r="F37" s="14"/>
    </row>
    <row r="38" ht="14.25" customHeight="1">
      <c r="F38" s="14"/>
    </row>
    <row r="39" ht="14.25" customHeight="1">
      <c r="F39" s="14"/>
    </row>
    <row r="40" ht="14.25" customHeight="1">
      <c r="F40" s="14"/>
    </row>
    <row r="41" ht="14.25" customHeight="1">
      <c r="F41" s="14"/>
    </row>
    <row r="42" ht="14.25" customHeight="1">
      <c r="F42" s="14"/>
    </row>
    <row r="43" ht="14.25" customHeight="1">
      <c r="F43" s="14"/>
    </row>
    <row r="44" ht="14.25" customHeight="1">
      <c r="F44" s="14"/>
    </row>
    <row r="45" ht="14.25" customHeight="1">
      <c r="F45" s="14"/>
    </row>
    <row r="46" ht="14.25" customHeight="1">
      <c r="F46" s="14"/>
    </row>
    <row r="47" ht="14.25" customHeight="1">
      <c r="F47" s="14"/>
    </row>
    <row r="48" ht="14.25" customHeight="1">
      <c r="F48" s="14"/>
    </row>
    <row r="49" ht="14.25" customHeight="1">
      <c r="F49" s="14"/>
    </row>
    <row r="50" ht="14.25" customHeight="1">
      <c r="F50" s="14"/>
    </row>
    <row r="51" ht="14.25" customHeight="1">
      <c r="F51" s="14"/>
    </row>
    <row r="52" ht="14.25" customHeight="1">
      <c r="F52" s="14"/>
    </row>
    <row r="53" ht="14.25" customHeight="1">
      <c r="F53" s="14"/>
    </row>
    <row r="54" ht="14.25" customHeight="1">
      <c r="F54" s="14"/>
    </row>
    <row r="55" ht="14.25" customHeight="1">
      <c r="F55" s="14"/>
    </row>
    <row r="56" ht="14.25" customHeight="1">
      <c r="F56" s="14"/>
    </row>
    <row r="57" ht="14.25" customHeight="1">
      <c r="F57" s="14"/>
    </row>
    <row r="58" ht="14.25" customHeight="1">
      <c r="F58" s="14"/>
    </row>
    <row r="59" ht="14.25" customHeight="1">
      <c r="F59" s="14"/>
    </row>
    <row r="60" ht="14.25" customHeight="1">
      <c r="F60" s="14"/>
    </row>
    <row r="61" ht="14.25" customHeight="1">
      <c r="F61" s="14"/>
    </row>
    <row r="62" ht="14.25" customHeight="1">
      <c r="F62" s="14"/>
    </row>
    <row r="63" ht="14.25" customHeight="1">
      <c r="F63" s="14"/>
    </row>
    <row r="64" ht="14.25" customHeight="1">
      <c r="F64" s="14"/>
    </row>
    <row r="65" ht="14.25" customHeight="1">
      <c r="F65" s="14"/>
    </row>
    <row r="66" ht="14.25" customHeight="1">
      <c r="F66" s="14"/>
    </row>
    <row r="67" ht="14.25" customHeight="1">
      <c r="F67" s="14"/>
    </row>
    <row r="68" ht="14.25" customHeight="1">
      <c r="F68" s="14"/>
    </row>
    <row r="69" ht="14.25" customHeight="1">
      <c r="F69" s="14"/>
    </row>
    <row r="70" ht="14.25" customHeight="1">
      <c r="F70" s="14"/>
    </row>
    <row r="71" ht="14.25" customHeight="1">
      <c r="F71" s="14"/>
    </row>
    <row r="72" ht="14.25" customHeight="1">
      <c r="F72" s="14"/>
    </row>
    <row r="73" ht="14.25" customHeight="1">
      <c r="F73" s="14"/>
    </row>
    <row r="74" ht="14.25" customHeight="1">
      <c r="F74" s="14"/>
    </row>
    <row r="75" ht="14.25" customHeight="1">
      <c r="F75" s="14"/>
    </row>
    <row r="76" ht="14.25" customHeight="1">
      <c r="F76" s="14"/>
    </row>
    <row r="77" ht="14.25" customHeight="1">
      <c r="F77" s="14"/>
    </row>
    <row r="78" ht="14.25" customHeight="1">
      <c r="F78" s="14"/>
    </row>
    <row r="79" ht="14.25" customHeight="1">
      <c r="F79" s="14"/>
    </row>
    <row r="80" ht="14.25" customHeight="1">
      <c r="F80" s="14"/>
    </row>
    <row r="81" ht="14.25" customHeight="1">
      <c r="F81" s="14"/>
    </row>
    <row r="82" ht="14.25" customHeight="1">
      <c r="F82" s="14"/>
    </row>
    <row r="83" ht="14.25" customHeight="1">
      <c r="F83" s="14"/>
    </row>
    <row r="84" ht="14.25" customHeight="1">
      <c r="F84" s="14"/>
    </row>
    <row r="85" ht="14.25" customHeight="1">
      <c r="F85" s="14"/>
    </row>
    <row r="86" ht="14.25" customHeight="1">
      <c r="F86" s="14"/>
    </row>
    <row r="87" ht="14.25" customHeight="1">
      <c r="F87" s="14"/>
    </row>
    <row r="88" ht="14.25" customHeight="1">
      <c r="F88" s="14"/>
    </row>
    <row r="89" ht="14.25" customHeight="1">
      <c r="F89" s="14"/>
    </row>
    <row r="90" ht="14.25" customHeight="1">
      <c r="F90" s="14"/>
    </row>
    <row r="91" ht="14.25" customHeight="1">
      <c r="F91" s="14"/>
    </row>
    <row r="92" ht="14.25" customHeight="1">
      <c r="F92" s="14"/>
    </row>
    <row r="93" ht="14.25" customHeight="1">
      <c r="F93" s="14"/>
    </row>
    <row r="94" ht="14.25" customHeight="1">
      <c r="F94" s="14"/>
    </row>
    <row r="95" ht="14.25" customHeight="1">
      <c r="F95" s="14"/>
    </row>
    <row r="96" ht="14.25" customHeight="1">
      <c r="F96" s="14"/>
    </row>
    <row r="97" ht="14.25" customHeight="1">
      <c r="F97" s="14"/>
    </row>
    <row r="98" ht="14.25" customHeight="1">
      <c r="F98" s="14"/>
    </row>
    <row r="99" ht="14.25" customHeight="1">
      <c r="F99" s="14"/>
    </row>
    <row r="100" ht="14.25" customHeight="1">
      <c r="F100" s="14"/>
    </row>
    <row r="101" ht="14.25" customHeight="1">
      <c r="F101" s="14"/>
    </row>
    <row r="102" ht="14.25" customHeight="1">
      <c r="F102" s="14"/>
    </row>
    <row r="103" ht="14.25" customHeight="1">
      <c r="F103" s="14"/>
    </row>
    <row r="104" ht="14.25" customHeight="1">
      <c r="F104" s="14"/>
    </row>
    <row r="105" ht="14.25" customHeight="1">
      <c r="F105" s="14"/>
    </row>
    <row r="106" ht="14.25" customHeight="1">
      <c r="F106" s="14"/>
    </row>
    <row r="107" ht="14.25" customHeight="1">
      <c r="F107" s="14"/>
    </row>
    <row r="108" ht="14.25" customHeight="1">
      <c r="F108" s="14"/>
    </row>
    <row r="109" ht="14.25" customHeight="1">
      <c r="F109" s="14"/>
    </row>
    <row r="110" ht="14.25" customHeight="1">
      <c r="F110" s="14"/>
    </row>
    <row r="111" ht="14.25" customHeight="1">
      <c r="F111" s="14"/>
    </row>
    <row r="112" ht="14.25" customHeight="1">
      <c r="F112" s="14"/>
    </row>
    <row r="113" ht="14.25" customHeight="1">
      <c r="F113" s="14"/>
    </row>
    <row r="114" ht="14.25" customHeight="1">
      <c r="F114" s="14"/>
    </row>
    <row r="115" ht="14.25" customHeight="1">
      <c r="F115" s="14"/>
    </row>
    <row r="116" ht="14.25" customHeight="1">
      <c r="F116" s="14"/>
    </row>
    <row r="117" ht="14.25" customHeight="1">
      <c r="F117" s="14"/>
    </row>
    <row r="118" ht="14.25" customHeight="1">
      <c r="F118" s="14"/>
    </row>
    <row r="119" ht="14.25" customHeight="1">
      <c r="F119" s="14"/>
    </row>
    <row r="120" ht="14.25" customHeight="1">
      <c r="F120" s="14"/>
    </row>
    <row r="121" ht="14.25" customHeight="1">
      <c r="F121" s="14"/>
    </row>
    <row r="122" ht="14.25" customHeight="1">
      <c r="F122" s="14"/>
    </row>
    <row r="123" ht="14.25" customHeight="1">
      <c r="F123" s="14"/>
    </row>
    <row r="124" ht="14.25" customHeight="1">
      <c r="F124" s="14"/>
    </row>
    <row r="125" ht="14.25" customHeight="1">
      <c r="F125" s="14"/>
    </row>
    <row r="126" ht="14.25" customHeight="1">
      <c r="F126" s="14"/>
    </row>
    <row r="127" ht="14.25" customHeight="1">
      <c r="F127" s="14"/>
    </row>
    <row r="128" ht="14.25" customHeight="1">
      <c r="F128" s="14"/>
    </row>
    <row r="129" ht="14.25" customHeight="1">
      <c r="F129" s="14"/>
    </row>
    <row r="130" ht="14.25" customHeight="1">
      <c r="F130" s="14"/>
    </row>
    <row r="131" ht="14.25" customHeight="1">
      <c r="F131" s="14"/>
    </row>
    <row r="132" ht="14.25" customHeight="1">
      <c r="F132" s="14"/>
    </row>
    <row r="133" ht="14.25" customHeight="1">
      <c r="F133" s="14"/>
    </row>
    <row r="134" ht="14.25" customHeight="1">
      <c r="F134" s="14"/>
    </row>
    <row r="135" ht="14.25" customHeight="1">
      <c r="F135" s="14"/>
    </row>
    <row r="136" ht="14.25" customHeight="1">
      <c r="F136" s="14"/>
    </row>
    <row r="137" ht="14.25" customHeight="1">
      <c r="F137" s="14"/>
    </row>
    <row r="138" ht="14.25" customHeight="1">
      <c r="F138" s="14"/>
    </row>
    <row r="139" ht="14.25" customHeight="1">
      <c r="F139" s="14"/>
    </row>
    <row r="140" ht="14.25" customHeight="1">
      <c r="F140" s="14"/>
    </row>
    <row r="141" ht="14.25" customHeight="1">
      <c r="F141" s="14"/>
    </row>
    <row r="142" ht="14.25" customHeight="1">
      <c r="F142" s="14"/>
    </row>
    <row r="143" ht="14.25" customHeight="1">
      <c r="F143" s="14"/>
    </row>
    <row r="144" ht="14.25" customHeight="1">
      <c r="F144" s="14"/>
    </row>
    <row r="145" ht="14.25" customHeight="1">
      <c r="F145" s="14"/>
    </row>
    <row r="146" ht="14.25" customHeight="1">
      <c r="F146" s="14"/>
    </row>
    <row r="147" ht="14.25" customHeight="1">
      <c r="F147" s="14"/>
    </row>
    <row r="148" ht="14.25" customHeight="1">
      <c r="F148" s="14"/>
    </row>
    <row r="149" ht="14.25" customHeight="1">
      <c r="F149" s="14"/>
    </row>
    <row r="150" ht="14.25" customHeight="1">
      <c r="F150" s="14"/>
    </row>
    <row r="151" ht="14.25" customHeight="1">
      <c r="F151" s="14"/>
    </row>
    <row r="152" ht="14.25" customHeight="1">
      <c r="F152" s="14"/>
    </row>
    <row r="153" ht="14.25" customHeight="1">
      <c r="F153" s="14"/>
    </row>
    <row r="154" ht="14.25" customHeight="1">
      <c r="F154" s="14"/>
    </row>
    <row r="155" ht="14.25" customHeight="1">
      <c r="F155" s="14"/>
    </row>
    <row r="156" ht="14.25" customHeight="1">
      <c r="F156" s="14"/>
    </row>
    <row r="157" ht="14.25" customHeight="1">
      <c r="F157" s="14"/>
    </row>
    <row r="158" ht="14.25" customHeight="1">
      <c r="F158" s="14"/>
    </row>
    <row r="159" ht="14.25" customHeight="1">
      <c r="F159" s="14"/>
    </row>
    <row r="160" ht="14.25" customHeight="1">
      <c r="F160" s="14"/>
    </row>
    <row r="161" ht="14.25" customHeight="1">
      <c r="F161" s="14"/>
    </row>
    <row r="162" ht="14.25" customHeight="1">
      <c r="F162" s="14"/>
    </row>
    <row r="163" ht="14.25" customHeight="1">
      <c r="F163" s="14"/>
    </row>
    <row r="164" ht="14.25" customHeight="1">
      <c r="F164" s="14"/>
    </row>
    <row r="165" ht="14.25" customHeight="1">
      <c r="F165" s="14"/>
    </row>
    <row r="166" ht="14.25" customHeight="1">
      <c r="F166" s="14"/>
    </row>
    <row r="167" ht="14.25" customHeight="1">
      <c r="F167" s="14"/>
    </row>
    <row r="168" ht="14.25" customHeight="1">
      <c r="F168" s="14"/>
    </row>
    <row r="169" ht="14.25" customHeight="1">
      <c r="F169" s="14"/>
    </row>
    <row r="170" ht="14.25" customHeight="1">
      <c r="F170" s="14"/>
    </row>
    <row r="171" ht="14.25" customHeight="1">
      <c r="F171" s="14"/>
    </row>
    <row r="172" ht="14.25" customHeight="1">
      <c r="F172" s="14"/>
    </row>
    <row r="173" ht="14.25" customHeight="1">
      <c r="F173" s="14"/>
    </row>
    <row r="174" ht="14.25" customHeight="1">
      <c r="F174" s="14"/>
    </row>
    <row r="175" ht="14.25" customHeight="1">
      <c r="F175" s="14"/>
    </row>
    <row r="176" ht="14.25" customHeight="1">
      <c r="F176" s="14"/>
    </row>
    <row r="177" ht="14.25" customHeight="1">
      <c r="F177" s="14"/>
    </row>
    <row r="178" ht="14.25" customHeight="1">
      <c r="F178" s="14"/>
    </row>
    <row r="179" ht="14.25" customHeight="1">
      <c r="F179" s="14"/>
    </row>
    <row r="180" ht="14.25" customHeight="1">
      <c r="F180" s="14"/>
    </row>
    <row r="181" ht="14.25" customHeight="1">
      <c r="F181" s="14"/>
    </row>
    <row r="182" ht="14.25" customHeight="1">
      <c r="F182" s="14"/>
    </row>
    <row r="183" ht="14.25" customHeight="1">
      <c r="F183" s="14"/>
    </row>
    <row r="184" ht="14.25" customHeight="1">
      <c r="F184" s="14"/>
    </row>
    <row r="185" ht="14.25" customHeight="1">
      <c r="F185" s="14"/>
    </row>
    <row r="186" ht="14.25" customHeight="1">
      <c r="F186" s="14"/>
    </row>
    <row r="187" ht="14.25" customHeight="1">
      <c r="F187" s="14"/>
    </row>
    <row r="188" ht="14.25" customHeight="1">
      <c r="F188" s="14"/>
    </row>
    <row r="189" ht="14.25" customHeight="1">
      <c r="F189" s="14"/>
    </row>
    <row r="190" ht="14.25" customHeight="1">
      <c r="F190" s="14"/>
    </row>
    <row r="191" ht="14.25" customHeight="1">
      <c r="F191" s="14"/>
    </row>
    <row r="192" ht="14.25" customHeight="1">
      <c r="F192" s="14"/>
    </row>
    <row r="193" ht="14.25" customHeight="1">
      <c r="F193" s="14"/>
    </row>
    <row r="194" ht="14.25" customHeight="1">
      <c r="F194" s="14"/>
    </row>
    <row r="195" ht="14.25" customHeight="1">
      <c r="F195" s="14"/>
    </row>
    <row r="196" ht="14.25" customHeight="1">
      <c r="F196" s="14"/>
    </row>
    <row r="197" ht="14.25" customHeight="1">
      <c r="F197" s="14"/>
    </row>
    <row r="198" ht="14.25" customHeight="1">
      <c r="F198" s="14"/>
    </row>
    <row r="199" ht="14.25" customHeight="1">
      <c r="F199" s="14"/>
    </row>
    <row r="200" ht="14.25" customHeight="1">
      <c r="F200" s="14"/>
    </row>
    <row r="201" ht="14.25" customHeight="1">
      <c r="F201" s="14"/>
    </row>
    <row r="202" ht="14.25" customHeight="1">
      <c r="F202" s="14"/>
    </row>
    <row r="203" ht="14.25" customHeight="1">
      <c r="F203" s="14"/>
    </row>
    <row r="204" ht="14.25" customHeight="1">
      <c r="F204" s="14"/>
    </row>
    <row r="205" ht="14.25" customHeight="1">
      <c r="F205" s="14"/>
    </row>
    <row r="206" ht="14.25" customHeight="1">
      <c r="F206" s="14"/>
    </row>
    <row r="207" ht="14.25" customHeight="1">
      <c r="F207" s="14"/>
    </row>
    <row r="208" ht="14.25" customHeight="1">
      <c r="F208" s="14"/>
    </row>
    <row r="209" ht="14.25" customHeight="1">
      <c r="F209" s="14"/>
    </row>
    <row r="210" ht="14.25" customHeight="1">
      <c r="F210" s="14"/>
    </row>
    <row r="211" ht="14.25" customHeight="1">
      <c r="F211" s="14"/>
    </row>
    <row r="212" ht="14.25" customHeight="1">
      <c r="F212" s="14"/>
    </row>
    <row r="213" ht="14.25" customHeight="1">
      <c r="F213" s="14"/>
    </row>
    <row r="214" ht="14.25" customHeight="1">
      <c r="F214" s="14"/>
    </row>
    <row r="215" ht="14.25" customHeight="1">
      <c r="F215" s="14"/>
    </row>
    <row r="216" ht="14.25" customHeight="1">
      <c r="F216" s="14"/>
    </row>
    <row r="217" ht="14.25" customHeight="1">
      <c r="F217" s="14"/>
    </row>
    <row r="218" ht="14.25" customHeight="1">
      <c r="F218" s="14"/>
    </row>
    <row r="219" ht="14.25" customHeight="1">
      <c r="F219" s="14"/>
    </row>
    <row r="220" ht="14.25" customHeight="1">
      <c r="F220" s="14"/>
    </row>
    <row r="221" ht="14.25" customHeight="1">
      <c r="F221" s="14"/>
    </row>
    <row r="222" ht="14.25" customHeight="1">
      <c r="F222" s="14"/>
    </row>
    <row r="223" ht="14.25" customHeight="1">
      <c r="F223" s="14"/>
    </row>
    <row r="224" ht="14.25" customHeight="1">
      <c r="F224" s="14"/>
    </row>
    <row r="225" ht="14.25" customHeight="1">
      <c r="F225" s="14"/>
    </row>
    <row r="226" ht="14.25" customHeight="1">
      <c r="F226" s="14"/>
    </row>
    <row r="227" ht="14.25" customHeight="1">
      <c r="F227" s="14"/>
    </row>
    <row r="228" ht="14.25" customHeight="1">
      <c r="F228" s="14"/>
    </row>
    <row r="229" ht="14.25" customHeight="1">
      <c r="F229" s="14"/>
    </row>
    <row r="230" ht="14.25" customHeight="1">
      <c r="F230" s="14"/>
    </row>
    <row r="231" ht="14.25" customHeight="1">
      <c r="F231" s="14"/>
    </row>
    <row r="232" ht="14.25" customHeight="1">
      <c r="F232" s="14"/>
    </row>
    <row r="233" ht="14.25" customHeight="1">
      <c r="F233" s="14"/>
    </row>
    <row r="234" ht="14.25" customHeight="1">
      <c r="F234" s="14"/>
    </row>
    <row r="235" ht="14.25" customHeight="1">
      <c r="F235" s="14"/>
    </row>
    <row r="236" ht="14.25" customHeight="1">
      <c r="F236" s="14"/>
    </row>
    <row r="237" ht="14.25" customHeight="1">
      <c r="F237" s="14"/>
    </row>
    <row r="238" ht="14.25" customHeight="1">
      <c r="F238" s="14"/>
    </row>
    <row r="239" ht="14.25" customHeight="1">
      <c r="F239" s="14"/>
    </row>
    <row r="240" ht="14.25" customHeight="1">
      <c r="F240" s="14"/>
    </row>
    <row r="241" ht="14.25" customHeight="1">
      <c r="F241" s="14"/>
    </row>
    <row r="242" ht="14.25" customHeight="1">
      <c r="F242" s="14"/>
    </row>
    <row r="243" ht="14.25" customHeight="1">
      <c r="F243" s="14"/>
    </row>
    <row r="244" ht="14.25" customHeight="1">
      <c r="F244" s="14"/>
    </row>
    <row r="245" ht="14.25" customHeight="1">
      <c r="F245" s="14"/>
    </row>
    <row r="246" ht="14.25" customHeight="1">
      <c r="F246" s="14"/>
    </row>
    <row r="247" ht="14.25" customHeight="1">
      <c r="F247" s="14"/>
    </row>
    <row r="248" ht="14.25" customHeight="1">
      <c r="F248" s="14"/>
    </row>
    <row r="249" ht="14.25" customHeight="1">
      <c r="F249" s="14"/>
    </row>
    <row r="250" ht="14.25" customHeight="1">
      <c r="F250" s="14"/>
    </row>
    <row r="251" ht="14.25" customHeight="1">
      <c r="F251" s="14"/>
    </row>
    <row r="252" ht="14.25" customHeight="1">
      <c r="F252" s="14"/>
    </row>
    <row r="253" ht="14.25" customHeight="1">
      <c r="F253" s="14"/>
    </row>
    <row r="254" ht="14.25" customHeight="1">
      <c r="F254" s="14"/>
    </row>
    <row r="255" ht="14.25" customHeight="1">
      <c r="F255" s="14"/>
    </row>
    <row r="256" ht="14.25" customHeight="1">
      <c r="F256" s="14"/>
    </row>
    <row r="257" ht="14.25" customHeight="1">
      <c r="F257" s="14"/>
    </row>
    <row r="258" ht="14.25" customHeight="1">
      <c r="F258" s="14"/>
    </row>
    <row r="259" ht="14.25" customHeight="1">
      <c r="F259" s="14"/>
    </row>
    <row r="260" ht="14.25" customHeight="1">
      <c r="F260" s="14"/>
    </row>
    <row r="261" ht="14.25" customHeight="1">
      <c r="F261" s="14"/>
    </row>
    <row r="262" ht="14.25" customHeight="1">
      <c r="F262" s="14"/>
    </row>
    <row r="263" ht="14.25" customHeight="1">
      <c r="F263" s="14"/>
    </row>
    <row r="264" ht="14.25" customHeight="1">
      <c r="F264" s="14"/>
    </row>
    <row r="265" ht="14.25" customHeight="1">
      <c r="F265" s="14"/>
    </row>
    <row r="266" ht="14.25" customHeight="1">
      <c r="F266" s="14"/>
    </row>
    <row r="267" ht="14.25" customHeight="1">
      <c r="F267" s="14"/>
    </row>
    <row r="268" ht="14.25" customHeight="1">
      <c r="F268" s="14"/>
    </row>
    <row r="269" ht="14.25" customHeight="1">
      <c r="F269" s="14"/>
    </row>
    <row r="270" ht="14.25" customHeight="1">
      <c r="F270" s="14"/>
    </row>
    <row r="271" ht="14.25" customHeight="1">
      <c r="F271" s="14"/>
    </row>
    <row r="272" ht="14.25" customHeight="1">
      <c r="F272" s="14"/>
    </row>
    <row r="273" ht="14.25" customHeight="1">
      <c r="F273" s="14"/>
    </row>
    <row r="274" ht="14.25" customHeight="1">
      <c r="F274" s="14"/>
    </row>
    <row r="275" ht="14.25" customHeight="1">
      <c r="F275" s="14"/>
    </row>
    <row r="276" ht="14.25" customHeight="1">
      <c r="F276" s="14"/>
    </row>
    <row r="277" ht="14.25" customHeight="1">
      <c r="F277" s="14"/>
    </row>
    <row r="278" ht="14.25" customHeight="1">
      <c r="F278" s="14"/>
    </row>
    <row r="279" ht="14.25" customHeight="1">
      <c r="F279" s="14"/>
    </row>
    <row r="280" ht="14.25" customHeight="1">
      <c r="F280" s="14"/>
    </row>
    <row r="281" ht="14.25" customHeight="1">
      <c r="F281" s="14"/>
    </row>
    <row r="282" ht="14.25" customHeight="1">
      <c r="F282" s="14"/>
    </row>
    <row r="283" ht="14.25" customHeight="1">
      <c r="F283" s="14"/>
    </row>
    <row r="284" ht="14.25" customHeight="1">
      <c r="F284" s="14"/>
    </row>
    <row r="285" ht="14.25" customHeight="1">
      <c r="F285" s="14"/>
    </row>
    <row r="286" ht="14.25" customHeight="1">
      <c r="F286" s="14"/>
    </row>
    <row r="287" ht="14.25" customHeight="1">
      <c r="F287" s="14"/>
    </row>
    <row r="288" ht="14.25" customHeight="1">
      <c r="F288" s="14"/>
    </row>
    <row r="289" ht="14.25" customHeight="1">
      <c r="F289" s="14"/>
    </row>
    <row r="290" ht="14.25" customHeight="1">
      <c r="F290" s="14"/>
    </row>
    <row r="291" ht="14.25" customHeight="1">
      <c r="F291" s="14"/>
    </row>
    <row r="292" ht="14.25" customHeight="1">
      <c r="F292" s="14"/>
    </row>
    <row r="293" ht="14.25" customHeight="1">
      <c r="F293" s="14"/>
    </row>
    <row r="294" ht="14.25" customHeight="1">
      <c r="F294" s="14"/>
    </row>
    <row r="295" ht="14.25" customHeight="1">
      <c r="F295" s="14"/>
    </row>
    <row r="296" ht="14.25" customHeight="1">
      <c r="F296" s="14"/>
    </row>
    <row r="297" ht="14.25" customHeight="1">
      <c r="F297" s="14"/>
    </row>
    <row r="298" ht="14.25" customHeight="1">
      <c r="F298" s="14"/>
    </row>
    <row r="299" ht="14.25" customHeight="1">
      <c r="F299" s="14"/>
    </row>
    <row r="300" ht="14.25" customHeight="1">
      <c r="F300" s="14"/>
    </row>
    <row r="301" ht="14.25" customHeight="1">
      <c r="F301" s="14"/>
    </row>
    <row r="302" ht="14.25" customHeight="1">
      <c r="F302" s="14"/>
    </row>
    <row r="303" ht="14.25" customHeight="1">
      <c r="F303" s="14"/>
    </row>
    <row r="304" ht="14.25" customHeight="1">
      <c r="F304" s="14"/>
    </row>
    <row r="305" ht="14.25" customHeight="1">
      <c r="F305" s="14"/>
    </row>
    <row r="306" ht="14.25" customHeight="1">
      <c r="F306" s="14"/>
    </row>
    <row r="307" ht="14.25" customHeight="1">
      <c r="F307" s="14"/>
    </row>
    <row r="308" ht="14.25" customHeight="1">
      <c r="F308" s="14"/>
    </row>
    <row r="309" ht="14.25" customHeight="1">
      <c r="F309" s="14"/>
    </row>
    <row r="310" ht="14.25" customHeight="1">
      <c r="F310" s="14"/>
    </row>
    <row r="311" ht="14.25" customHeight="1">
      <c r="F311" s="14"/>
    </row>
    <row r="312" ht="14.25" customHeight="1">
      <c r="F312" s="14"/>
    </row>
    <row r="313" ht="14.25" customHeight="1">
      <c r="F313" s="14"/>
    </row>
    <row r="314" ht="14.25" customHeight="1">
      <c r="F314" s="14"/>
    </row>
    <row r="315" ht="14.25" customHeight="1">
      <c r="F315" s="14"/>
    </row>
    <row r="316" ht="14.25" customHeight="1">
      <c r="F316" s="14"/>
    </row>
    <row r="317" ht="14.25" customHeight="1">
      <c r="F317" s="14"/>
    </row>
    <row r="318" ht="14.25" customHeight="1">
      <c r="F318" s="14"/>
    </row>
    <row r="319" ht="14.25" customHeight="1">
      <c r="F319" s="14"/>
    </row>
    <row r="320" ht="14.25" customHeight="1">
      <c r="F320" s="14"/>
    </row>
    <row r="321" ht="14.25" customHeight="1">
      <c r="F321" s="14"/>
    </row>
    <row r="322" ht="14.25" customHeight="1">
      <c r="F322" s="14"/>
    </row>
    <row r="323" ht="14.25" customHeight="1">
      <c r="F323" s="14"/>
    </row>
    <row r="324" ht="14.25" customHeight="1">
      <c r="F324" s="14"/>
    </row>
    <row r="325" ht="14.25" customHeight="1">
      <c r="F325" s="14"/>
    </row>
    <row r="326" ht="14.25" customHeight="1">
      <c r="F326" s="14"/>
    </row>
    <row r="327" ht="14.25" customHeight="1">
      <c r="F327" s="14"/>
    </row>
    <row r="328" ht="14.25" customHeight="1">
      <c r="F328" s="14"/>
    </row>
    <row r="329" ht="14.25" customHeight="1">
      <c r="F329" s="14"/>
    </row>
    <row r="330" ht="14.25" customHeight="1">
      <c r="F330" s="14"/>
    </row>
    <row r="331" ht="14.25" customHeight="1">
      <c r="F331" s="14"/>
    </row>
    <row r="332" ht="14.25" customHeight="1">
      <c r="F332" s="14"/>
    </row>
    <row r="333" ht="14.25" customHeight="1">
      <c r="F333" s="14"/>
    </row>
    <row r="334" ht="14.25" customHeight="1">
      <c r="F334" s="14"/>
    </row>
    <row r="335" ht="14.25" customHeight="1">
      <c r="F335" s="14"/>
    </row>
    <row r="336" ht="14.25" customHeight="1">
      <c r="F336" s="14"/>
    </row>
    <row r="337" ht="14.25" customHeight="1">
      <c r="F337" s="14"/>
    </row>
    <row r="338" ht="14.25" customHeight="1">
      <c r="F338" s="14"/>
    </row>
    <row r="339" ht="14.25" customHeight="1">
      <c r="F339" s="14"/>
    </row>
    <row r="340" ht="14.25" customHeight="1">
      <c r="F340" s="14"/>
    </row>
    <row r="341" ht="14.25" customHeight="1">
      <c r="F341" s="14"/>
    </row>
    <row r="342" ht="14.25" customHeight="1">
      <c r="F342" s="14"/>
    </row>
    <row r="343" ht="14.25" customHeight="1">
      <c r="F343" s="14"/>
    </row>
    <row r="344" ht="14.25" customHeight="1">
      <c r="F344" s="14"/>
    </row>
    <row r="345" ht="14.25" customHeight="1">
      <c r="F345" s="14"/>
    </row>
    <row r="346" ht="14.25" customHeight="1">
      <c r="F346" s="14"/>
    </row>
    <row r="347" ht="14.25" customHeight="1">
      <c r="F347" s="14"/>
    </row>
    <row r="348" ht="14.25" customHeight="1">
      <c r="F348" s="14"/>
    </row>
    <row r="349" ht="14.25" customHeight="1">
      <c r="F349" s="14"/>
    </row>
    <row r="350" ht="14.25" customHeight="1">
      <c r="F350" s="14"/>
    </row>
    <row r="351" ht="14.25" customHeight="1">
      <c r="F351" s="14"/>
    </row>
    <row r="352" ht="14.25" customHeight="1">
      <c r="F352" s="14"/>
    </row>
    <row r="353" ht="14.25" customHeight="1">
      <c r="F353" s="14"/>
    </row>
    <row r="354" ht="14.25" customHeight="1">
      <c r="F354" s="14"/>
    </row>
    <row r="355" ht="14.25" customHeight="1">
      <c r="F355" s="14"/>
    </row>
    <row r="356" ht="14.25" customHeight="1">
      <c r="F356" s="14"/>
    </row>
    <row r="357" ht="14.25" customHeight="1">
      <c r="F357" s="14"/>
    </row>
    <row r="358" ht="14.25" customHeight="1">
      <c r="F358" s="14"/>
    </row>
    <row r="359" ht="14.25" customHeight="1">
      <c r="F359" s="14"/>
    </row>
    <row r="360" ht="14.25" customHeight="1">
      <c r="F360" s="14"/>
    </row>
    <row r="361" ht="14.25" customHeight="1">
      <c r="F361" s="14"/>
    </row>
    <row r="362" ht="14.25" customHeight="1">
      <c r="F362" s="14"/>
    </row>
    <row r="363" ht="14.25" customHeight="1">
      <c r="F363" s="14"/>
    </row>
    <row r="364" ht="14.25" customHeight="1">
      <c r="F364" s="14"/>
    </row>
    <row r="365" ht="14.25" customHeight="1">
      <c r="F365" s="14"/>
    </row>
    <row r="366" ht="14.25" customHeight="1">
      <c r="F366" s="14"/>
    </row>
    <row r="367" ht="14.25" customHeight="1">
      <c r="F367" s="14"/>
    </row>
    <row r="368" ht="14.25" customHeight="1">
      <c r="F368" s="14"/>
    </row>
    <row r="369" ht="14.25" customHeight="1">
      <c r="F369" s="14"/>
    </row>
    <row r="370" ht="14.25" customHeight="1">
      <c r="F370" s="14"/>
    </row>
    <row r="371" ht="14.25" customHeight="1">
      <c r="F371" s="14"/>
    </row>
    <row r="372" ht="14.25" customHeight="1">
      <c r="F372" s="14"/>
    </row>
    <row r="373" ht="14.25" customHeight="1">
      <c r="F373" s="14"/>
    </row>
    <row r="374" ht="14.25" customHeight="1">
      <c r="F374" s="14"/>
    </row>
    <row r="375" ht="14.25" customHeight="1">
      <c r="F375" s="14"/>
    </row>
    <row r="376" ht="14.25" customHeight="1">
      <c r="F376" s="14"/>
    </row>
    <row r="377" ht="14.25" customHeight="1">
      <c r="F377" s="14"/>
    </row>
    <row r="378" ht="14.25" customHeight="1">
      <c r="F378" s="14"/>
    </row>
    <row r="379" ht="14.25" customHeight="1">
      <c r="F379" s="14"/>
    </row>
    <row r="380" ht="14.25" customHeight="1">
      <c r="F380" s="14"/>
    </row>
    <row r="381" ht="14.25" customHeight="1">
      <c r="F381" s="14"/>
    </row>
    <row r="382" ht="14.25" customHeight="1">
      <c r="F382" s="14"/>
    </row>
    <row r="383" ht="14.25" customHeight="1">
      <c r="F383" s="14"/>
    </row>
    <row r="384" ht="14.25" customHeight="1">
      <c r="F384" s="14"/>
    </row>
    <row r="385" ht="14.25" customHeight="1">
      <c r="F385" s="14"/>
    </row>
    <row r="386" ht="14.25" customHeight="1">
      <c r="F386" s="14"/>
    </row>
    <row r="387" ht="14.25" customHeight="1">
      <c r="F387" s="14"/>
    </row>
    <row r="388" ht="14.25" customHeight="1">
      <c r="F388" s="14"/>
    </row>
    <row r="389" ht="14.25" customHeight="1">
      <c r="F389" s="14"/>
    </row>
    <row r="390" ht="14.25" customHeight="1">
      <c r="F390" s="14"/>
    </row>
    <row r="391" ht="14.25" customHeight="1">
      <c r="F391" s="14"/>
    </row>
    <row r="392" ht="14.25" customHeight="1">
      <c r="F392" s="14"/>
    </row>
    <row r="393" ht="14.25" customHeight="1">
      <c r="F393" s="14"/>
    </row>
    <row r="394" ht="14.25" customHeight="1">
      <c r="F394" s="14"/>
    </row>
    <row r="395" ht="14.25" customHeight="1">
      <c r="F395" s="14"/>
    </row>
    <row r="396" ht="14.25" customHeight="1">
      <c r="F396" s="14"/>
    </row>
    <row r="397" ht="14.25" customHeight="1">
      <c r="F397" s="14"/>
    </row>
    <row r="398" ht="14.25" customHeight="1">
      <c r="F398" s="14"/>
    </row>
    <row r="399" ht="14.25" customHeight="1">
      <c r="F399" s="14"/>
    </row>
    <row r="400" ht="14.25" customHeight="1">
      <c r="F400" s="14"/>
    </row>
    <row r="401" ht="14.25" customHeight="1">
      <c r="F401" s="14"/>
    </row>
    <row r="402" ht="14.25" customHeight="1">
      <c r="F402" s="14"/>
    </row>
    <row r="403" ht="14.25" customHeight="1">
      <c r="F403" s="14"/>
    </row>
    <row r="404" ht="14.25" customHeight="1">
      <c r="F404" s="14"/>
    </row>
    <row r="405" ht="14.25" customHeight="1">
      <c r="F405" s="14"/>
    </row>
    <row r="406" ht="14.25" customHeight="1">
      <c r="F406" s="14"/>
    </row>
    <row r="407" ht="14.25" customHeight="1">
      <c r="F407" s="14"/>
    </row>
    <row r="408" ht="14.25" customHeight="1">
      <c r="F408" s="14"/>
    </row>
    <row r="409" ht="14.25" customHeight="1">
      <c r="F409" s="14"/>
    </row>
    <row r="410" ht="14.25" customHeight="1">
      <c r="F410" s="14"/>
    </row>
    <row r="411" ht="14.25" customHeight="1">
      <c r="F411" s="14"/>
    </row>
    <row r="412" ht="14.25" customHeight="1">
      <c r="F412" s="14"/>
    </row>
    <row r="413" ht="14.25" customHeight="1">
      <c r="F413" s="14"/>
    </row>
    <row r="414" ht="14.25" customHeight="1">
      <c r="F414" s="14"/>
    </row>
    <row r="415" ht="14.25" customHeight="1">
      <c r="F415" s="14"/>
    </row>
    <row r="416" ht="14.25" customHeight="1">
      <c r="F416" s="14"/>
    </row>
    <row r="417" ht="14.25" customHeight="1">
      <c r="F417" s="14"/>
    </row>
    <row r="418" ht="14.25" customHeight="1">
      <c r="F418" s="14"/>
    </row>
    <row r="419" ht="14.25" customHeight="1">
      <c r="F419" s="14"/>
    </row>
    <row r="420" ht="14.25" customHeight="1">
      <c r="F420" s="14"/>
    </row>
    <row r="421" ht="14.25" customHeight="1">
      <c r="F421" s="14"/>
    </row>
    <row r="422" ht="14.25" customHeight="1">
      <c r="F422" s="14"/>
    </row>
    <row r="423" ht="14.25" customHeight="1">
      <c r="F423" s="14"/>
    </row>
    <row r="424" ht="14.25" customHeight="1">
      <c r="F424" s="14"/>
    </row>
    <row r="425" ht="14.25" customHeight="1">
      <c r="F425" s="14"/>
    </row>
    <row r="426" ht="14.25" customHeight="1">
      <c r="F426" s="14"/>
    </row>
    <row r="427" ht="14.25" customHeight="1">
      <c r="F427" s="14"/>
    </row>
    <row r="428" ht="14.25" customHeight="1">
      <c r="F428" s="14"/>
    </row>
    <row r="429" ht="14.25" customHeight="1">
      <c r="F429" s="14"/>
    </row>
    <row r="430" ht="14.25" customHeight="1">
      <c r="F430" s="14"/>
    </row>
    <row r="431" ht="14.25" customHeight="1">
      <c r="F431" s="14"/>
    </row>
    <row r="432" ht="14.25" customHeight="1">
      <c r="F432" s="14"/>
    </row>
    <row r="433" ht="14.25" customHeight="1">
      <c r="F433" s="14"/>
    </row>
    <row r="434" ht="14.25" customHeight="1">
      <c r="F434" s="14"/>
    </row>
    <row r="435" ht="14.25" customHeight="1">
      <c r="F435" s="14"/>
    </row>
    <row r="436" ht="14.25" customHeight="1">
      <c r="F436" s="14"/>
    </row>
    <row r="437" ht="14.25" customHeight="1">
      <c r="F437" s="14"/>
    </row>
    <row r="438" ht="14.25" customHeight="1">
      <c r="F438" s="14"/>
    </row>
    <row r="439" ht="14.25" customHeight="1">
      <c r="F439" s="14"/>
    </row>
    <row r="440" ht="14.25" customHeight="1">
      <c r="F440" s="14"/>
    </row>
    <row r="441" ht="14.25" customHeight="1">
      <c r="F441" s="14"/>
    </row>
    <row r="442" ht="14.25" customHeight="1">
      <c r="F442" s="14"/>
    </row>
    <row r="443" ht="14.25" customHeight="1">
      <c r="F443" s="14"/>
    </row>
    <row r="444" ht="14.25" customHeight="1">
      <c r="F444" s="14"/>
    </row>
    <row r="445" ht="14.25" customHeight="1">
      <c r="F445" s="14"/>
    </row>
    <row r="446" ht="14.25" customHeight="1">
      <c r="F446" s="14"/>
    </row>
    <row r="447" ht="14.25" customHeight="1">
      <c r="F447" s="14"/>
    </row>
    <row r="448" ht="14.25" customHeight="1">
      <c r="F448" s="14"/>
    </row>
    <row r="449" ht="14.25" customHeight="1">
      <c r="F449" s="14"/>
    </row>
    <row r="450" ht="14.25" customHeight="1">
      <c r="F450" s="14"/>
    </row>
    <row r="451" ht="14.25" customHeight="1">
      <c r="F451" s="14"/>
    </row>
    <row r="452" ht="14.25" customHeight="1">
      <c r="F452" s="14"/>
    </row>
    <row r="453" ht="14.25" customHeight="1">
      <c r="F453" s="14"/>
    </row>
    <row r="454" ht="14.25" customHeight="1">
      <c r="F454" s="14"/>
    </row>
    <row r="455" ht="14.25" customHeight="1">
      <c r="F455" s="14"/>
    </row>
    <row r="456" ht="14.25" customHeight="1">
      <c r="F456" s="14"/>
    </row>
    <row r="457" ht="14.25" customHeight="1">
      <c r="F457" s="14"/>
    </row>
    <row r="458" ht="14.25" customHeight="1">
      <c r="F458" s="14"/>
    </row>
    <row r="459" ht="14.25" customHeight="1">
      <c r="F459" s="14"/>
    </row>
    <row r="460" ht="14.25" customHeight="1">
      <c r="F460" s="14"/>
    </row>
    <row r="461" ht="14.25" customHeight="1">
      <c r="F461" s="14"/>
    </row>
    <row r="462" ht="14.25" customHeight="1">
      <c r="F462" s="14"/>
    </row>
    <row r="463" ht="14.25" customHeight="1">
      <c r="F463" s="14"/>
    </row>
    <row r="464" ht="14.25" customHeight="1">
      <c r="F464" s="14"/>
    </row>
    <row r="465" ht="14.25" customHeight="1">
      <c r="F465" s="14"/>
    </row>
    <row r="466" ht="14.25" customHeight="1">
      <c r="F466" s="14"/>
    </row>
    <row r="467" ht="14.25" customHeight="1">
      <c r="F467" s="14"/>
    </row>
    <row r="468" ht="14.25" customHeight="1">
      <c r="F468" s="14"/>
    </row>
    <row r="469" ht="14.25" customHeight="1">
      <c r="F469" s="14"/>
    </row>
    <row r="470" ht="14.25" customHeight="1">
      <c r="F470" s="14"/>
    </row>
    <row r="471" ht="14.25" customHeight="1">
      <c r="F471" s="14"/>
    </row>
    <row r="472" ht="14.25" customHeight="1">
      <c r="F472" s="14"/>
    </row>
    <row r="473" ht="14.25" customHeight="1">
      <c r="F473" s="14"/>
    </row>
    <row r="474" ht="14.25" customHeight="1">
      <c r="F474" s="14"/>
    </row>
    <row r="475" ht="14.25" customHeight="1">
      <c r="F475" s="14"/>
    </row>
    <row r="476" ht="14.25" customHeight="1">
      <c r="F476" s="14"/>
    </row>
    <row r="477" ht="14.25" customHeight="1">
      <c r="F477" s="14"/>
    </row>
    <row r="478" ht="14.25" customHeight="1">
      <c r="F478" s="14"/>
    </row>
    <row r="479" ht="14.25" customHeight="1">
      <c r="F479" s="14"/>
    </row>
    <row r="480" ht="14.25" customHeight="1">
      <c r="F480" s="14"/>
    </row>
    <row r="481" ht="14.25" customHeight="1">
      <c r="F481" s="14"/>
    </row>
    <row r="482" ht="14.25" customHeight="1">
      <c r="F482" s="14"/>
    </row>
    <row r="483" ht="14.25" customHeight="1">
      <c r="F483" s="14"/>
    </row>
    <row r="484" ht="14.25" customHeight="1">
      <c r="F484" s="14"/>
    </row>
    <row r="485" ht="14.25" customHeight="1">
      <c r="F485" s="14"/>
    </row>
    <row r="486" ht="14.25" customHeight="1">
      <c r="F486" s="14"/>
    </row>
    <row r="487" ht="14.25" customHeight="1">
      <c r="F487" s="14"/>
    </row>
    <row r="488" ht="14.25" customHeight="1">
      <c r="F488" s="14"/>
    </row>
    <row r="489" ht="14.25" customHeight="1">
      <c r="F489" s="14"/>
    </row>
    <row r="490" ht="14.25" customHeight="1">
      <c r="F490" s="14"/>
    </row>
    <row r="491" ht="14.25" customHeight="1">
      <c r="F491" s="14"/>
    </row>
    <row r="492" ht="14.25" customHeight="1">
      <c r="F492" s="14"/>
    </row>
    <row r="493" ht="14.25" customHeight="1">
      <c r="F493" s="14"/>
    </row>
    <row r="494" ht="14.25" customHeight="1">
      <c r="F494" s="14"/>
    </row>
    <row r="495" ht="14.25" customHeight="1">
      <c r="F495" s="14"/>
    </row>
    <row r="496" ht="14.25" customHeight="1">
      <c r="F496" s="14"/>
    </row>
    <row r="497" ht="14.25" customHeight="1">
      <c r="F497" s="14"/>
    </row>
    <row r="498" ht="14.25" customHeight="1">
      <c r="F498" s="14"/>
    </row>
    <row r="499" ht="14.25" customHeight="1">
      <c r="F499" s="14"/>
    </row>
    <row r="500" ht="14.25" customHeight="1">
      <c r="F500" s="14"/>
    </row>
    <row r="501" ht="14.25" customHeight="1">
      <c r="F501" s="14"/>
    </row>
    <row r="502" ht="14.25" customHeight="1">
      <c r="F502" s="14"/>
    </row>
    <row r="503" ht="14.25" customHeight="1">
      <c r="F503" s="14"/>
    </row>
    <row r="504" ht="14.25" customHeight="1">
      <c r="F504" s="14"/>
    </row>
    <row r="505" ht="14.25" customHeight="1">
      <c r="F505" s="14"/>
    </row>
    <row r="506" ht="14.25" customHeight="1">
      <c r="F506" s="14"/>
    </row>
    <row r="507" ht="14.25" customHeight="1">
      <c r="F507" s="14"/>
    </row>
    <row r="508" ht="14.25" customHeight="1">
      <c r="F508" s="14"/>
    </row>
    <row r="509" ht="14.25" customHeight="1">
      <c r="F509" s="14"/>
    </row>
    <row r="510" ht="14.25" customHeight="1">
      <c r="F510" s="14"/>
    </row>
    <row r="511" ht="14.25" customHeight="1">
      <c r="F511" s="14"/>
    </row>
    <row r="512" ht="14.25" customHeight="1">
      <c r="F512" s="14"/>
    </row>
    <row r="513" ht="14.25" customHeight="1">
      <c r="F513" s="14"/>
    </row>
    <row r="514" ht="14.25" customHeight="1">
      <c r="F514" s="14"/>
    </row>
    <row r="515" ht="14.25" customHeight="1">
      <c r="F515" s="14"/>
    </row>
    <row r="516" ht="14.25" customHeight="1">
      <c r="F516" s="14"/>
    </row>
    <row r="517" ht="14.25" customHeight="1">
      <c r="F517" s="14"/>
    </row>
    <row r="518" ht="14.25" customHeight="1">
      <c r="F518" s="14"/>
    </row>
    <row r="519" ht="14.25" customHeight="1">
      <c r="F519" s="14"/>
    </row>
    <row r="520" ht="14.25" customHeight="1">
      <c r="F520" s="14"/>
    </row>
    <row r="521" ht="14.25" customHeight="1">
      <c r="F521" s="14"/>
    </row>
    <row r="522" ht="14.25" customHeight="1">
      <c r="F522" s="14"/>
    </row>
    <row r="523" ht="14.25" customHeight="1">
      <c r="F523" s="14"/>
    </row>
    <row r="524" ht="14.25" customHeight="1">
      <c r="F524" s="14"/>
    </row>
    <row r="525" ht="14.25" customHeight="1">
      <c r="F525" s="14"/>
    </row>
    <row r="526" ht="14.25" customHeight="1">
      <c r="F526" s="14"/>
    </row>
    <row r="527" ht="14.25" customHeight="1">
      <c r="F527" s="14"/>
    </row>
    <row r="528" ht="14.25" customHeight="1">
      <c r="F528" s="14"/>
    </row>
    <row r="529" ht="14.25" customHeight="1">
      <c r="F529" s="14"/>
    </row>
    <row r="530" ht="14.25" customHeight="1">
      <c r="F530" s="14"/>
    </row>
    <row r="531" ht="14.25" customHeight="1">
      <c r="F531" s="14"/>
    </row>
    <row r="532" ht="14.25" customHeight="1">
      <c r="F532" s="14"/>
    </row>
    <row r="533" ht="14.25" customHeight="1">
      <c r="F533" s="14"/>
    </row>
    <row r="534" ht="14.25" customHeight="1">
      <c r="F534" s="14"/>
    </row>
    <row r="535" ht="14.25" customHeight="1">
      <c r="F535" s="14"/>
    </row>
    <row r="536" ht="14.25" customHeight="1">
      <c r="F536" s="14"/>
    </row>
    <row r="537" ht="14.25" customHeight="1">
      <c r="F537" s="14"/>
    </row>
    <row r="538" ht="14.25" customHeight="1">
      <c r="F538" s="14"/>
    </row>
    <row r="539" ht="14.25" customHeight="1">
      <c r="F539" s="14"/>
    </row>
    <row r="540" ht="14.25" customHeight="1">
      <c r="F540" s="14"/>
    </row>
    <row r="541" ht="14.25" customHeight="1">
      <c r="F541" s="14"/>
    </row>
    <row r="542" ht="14.25" customHeight="1">
      <c r="F542" s="14"/>
    </row>
    <row r="543" ht="14.25" customHeight="1">
      <c r="F543" s="14"/>
    </row>
    <row r="544" ht="14.25" customHeight="1">
      <c r="F544" s="14"/>
    </row>
    <row r="545" ht="14.25" customHeight="1">
      <c r="F545" s="14"/>
    </row>
    <row r="546" ht="14.25" customHeight="1">
      <c r="F546" s="14"/>
    </row>
    <row r="547" ht="14.25" customHeight="1">
      <c r="F547" s="14"/>
    </row>
    <row r="548" ht="14.25" customHeight="1">
      <c r="F548" s="14"/>
    </row>
    <row r="549" ht="14.25" customHeight="1">
      <c r="F549" s="14"/>
    </row>
    <row r="550" ht="14.25" customHeight="1">
      <c r="F550" s="14"/>
    </row>
    <row r="551" ht="14.25" customHeight="1">
      <c r="F551" s="14"/>
    </row>
    <row r="552" ht="14.25" customHeight="1">
      <c r="F552" s="14"/>
    </row>
    <row r="553" ht="14.25" customHeight="1">
      <c r="F553" s="14"/>
    </row>
    <row r="554" ht="14.25" customHeight="1">
      <c r="F554" s="14"/>
    </row>
    <row r="555" ht="14.25" customHeight="1">
      <c r="F555" s="14"/>
    </row>
    <row r="556" ht="14.25" customHeight="1">
      <c r="F556" s="14"/>
    </row>
    <row r="557" ht="14.25" customHeight="1">
      <c r="F557" s="14"/>
    </row>
    <row r="558" ht="14.25" customHeight="1">
      <c r="F558" s="14"/>
    </row>
    <row r="559" ht="14.25" customHeight="1">
      <c r="F559" s="14"/>
    </row>
    <row r="560" ht="14.25" customHeight="1">
      <c r="F560" s="14"/>
    </row>
    <row r="561" ht="14.25" customHeight="1">
      <c r="F561" s="14"/>
    </row>
    <row r="562" ht="14.25" customHeight="1">
      <c r="F562" s="14"/>
    </row>
    <row r="563" ht="14.25" customHeight="1">
      <c r="F563" s="14"/>
    </row>
    <row r="564" ht="14.25" customHeight="1">
      <c r="F564" s="14"/>
    </row>
    <row r="565" ht="14.25" customHeight="1">
      <c r="F565" s="14"/>
    </row>
    <row r="566" ht="14.25" customHeight="1">
      <c r="F566" s="14"/>
    </row>
    <row r="567" ht="14.25" customHeight="1">
      <c r="F567" s="14"/>
    </row>
    <row r="568" ht="14.25" customHeight="1">
      <c r="F568" s="14"/>
    </row>
    <row r="569" ht="14.25" customHeight="1">
      <c r="F569" s="14"/>
    </row>
    <row r="570" ht="14.25" customHeight="1">
      <c r="F570" s="14"/>
    </row>
    <row r="571" ht="14.25" customHeight="1">
      <c r="F571" s="14"/>
    </row>
    <row r="572" ht="14.25" customHeight="1">
      <c r="F572" s="14"/>
    </row>
    <row r="573" ht="14.25" customHeight="1">
      <c r="F573" s="14"/>
    </row>
    <row r="574" ht="14.25" customHeight="1">
      <c r="F574" s="14"/>
    </row>
    <row r="575" ht="14.25" customHeight="1">
      <c r="F575" s="14"/>
    </row>
    <row r="576" ht="14.25" customHeight="1">
      <c r="F576" s="14"/>
    </row>
    <row r="577" ht="14.25" customHeight="1">
      <c r="F577" s="14"/>
    </row>
    <row r="578" ht="14.25" customHeight="1">
      <c r="F578" s="14"/>
    </row>
    <row r="579" ht="14.25" customHeight="1">
      <c r="F579" s="14"/>
    </row>
    <row r="580" ht="14.25" customHeight="1">
      <c r="F580" s="14"/>
    </row>
    <row r="581" ht="14.25" customHeight="1">
      <c r="F581" s="14"/>
    </row>
    <row r="582" ht="14.25" customHeight="1">
      <c r="F582" s="14"/>
    </row>
    <row r="583" ht="14.25" customHeight="1">
      <c r="F583" s="14"/>
    </row>
    <row r="584" ht="14.25" customHeight="1">
      <c r="F584" s="14"/>
    </row>
    <row r="585" ht="14.25" customHeight="1">
      <c r="F585" s="14"/>
    </row>
    <row r="586" ht="14.25" customHeight="1">
      <c r="F586" s="14"/>
    </row>
    <row r="587" ht="14.25" customHeight="1">
      <c r="F587" s="14"/>
    </row>
    <row r="588" ht="14.25" customHeight="1">
      <c r="F588" s="14"/>
    </row>
    <row r="589" ht="14.25" customHeight="1">
      <c r="F589" s="14"/>
    </row>
    <row r="590" ht="14.25" customHeight="1">
      <c r="F590" s="14"/>
    </row>
    <row r="591" ht="14.25" customHeight="1">
      <c r="F591" s="14"/>
    </row>
    <row r="592" ht="14.25" customHeight="1">
      <c r="F592" s="14"/>
    </row>
    <row r="593" ht="14.25" customHeight="1">
      <c r="F593" s="14"/>
    </row>
    <row r="594" ht="14.25" customHeight="1">
      <c r="F594" s="14"/>
    </row>
    <row r="595" ht="14.25" customHeight="1">
      <c r="F595" s="14"/>
    </row>
    <row r="596" ht="14.25" customHeight="1">
      <c r="F596" s="14"/>
    </row>
    <row r="597" ht="14.25" customHeight="1">
      <c r="F597" s="14"/>
    </row>
    <row r="598" ht="14.25" customHeight="1">
      <c r="F598" s="14"/>
    </row>
    <row r="599" ht="14.25" customHeight="1">
      <c r="F599" s="14"/>
    </row>
    <row r="600" ht="14.25" customHeight="1">
      <c r="F600" s="14"/>
    </row>
    <row r="601" ht="14.25" customHeight="1">
      <c r="F601" s="14"/>
    </row>
    <row r="602" ht="14.25" customHeight="1">
      <c r="F602" s="14"/>
    </row>
    <row r="603" ht="14.25" customHeight="1">
      <c r="F603" s="14"/>
    </row>
    <row r="604" ht="14.25" customHeight="1">
      <c r="F604" s="14"/>
    </row>
    <row r="605" ht="14.25" customHeight="1">
      <c r="F605" s="14"/>
    </row>
    <row r="606" ht="14.25" customHeight="1">
      <c r="F606" s="14"/>
    </row>
    <row r="607" ht="14.25" customHeight="1">
      <c r="F607" s="14"/>
    </row>
    <row r="608" ht="14.25" customHeight="1">
      <c r="F608" s="14"/>
    </row>
    <row r="609" ht="14.25" customHeight="1">
      <c r="F609" s="14"/>
    </row>
    <row r="610" ht="14.25" customHeight="1">
      <c r="F610" s="14"/>
    </row>
    <row r="611" ht="14.25" customHeight="1">
      <c r="F611" s="14"/>
    </row>
    <row r="612" ht="14.25" customHeight="1">
      <c r="F612" s="14"/>
    </row>
    <row r="613" ht="14.25" customHeight="1">
      <c r="F613" s="14"/>
    </row>
    <row r="614" ht="14.25" customHeight="1">
      <c r="F614" s="14"/>
    </row>
    <row r="615" ht="14.25" customHeight="1">
      <c r="F615" s="14"/>
    </row>
    <row r="616" ht="14.25" customHeight="1">
      <c r="F616" s="14"/>
    </row>
    <row r="617" ht="14.25" customHeight="1">
      <c r="F617" s="14"/>
    </row>
    <row r="618" ht="14.25" customHeight="1">
      <c r="F618" s="14"/>
    </row>
    <row r="619" ht="14.25" customHeight="1">
      <c r="F619" s="14"/>
    </row>
    <row r="620" ht="14.25" customHeight="1">
      <c r="F620" s="14"/>
    </row>
    <row r="621" ht="14.25" customHeight="1">
      <c r="F621" s="14"/>
    </row>
    <row r="622" ht="14.25" customHeight="1">
      <c r="F622" s="14"/>
    </row>
    <row r="623" ht="14.25" customHeight="1">
      <c r="F623" s="14"/>
    </row>
    <row r="624" ht="14.25" customHeight="1">
      <c r="F624" s="14"/>
    </row>
    <row r="625" ht="14.25" customHeight="1">
      <c r="F625" s="14"/>
    </row>
    <row r="626" ht="14.25" customHeight="1">
      <c r="F626" s="14"/>
    </row>
    <row r="627" ht="14.25" customHeight="1">
      <c r="F627" s="14"/>
    </row>
    <row r="628" ht="14.25" customHeight="1">
      <c r="F628" s="14"/>
    </row>
    <row r="629" ht="14.25" customHeight="1">
      <c r="F629" s="14"/>
    </row>
    <row r="630" ht="14.25" customHeight="1">
      <c r="F630" s="14"/>
    </row>
    <row r="631" ht="14.25" customHeight="1">
      <c r="F631" s="14"/>
    </row>
    <row r="632" ht="14.25" customHeight="1">
      <c r="F632" s="14"/>
    </row>
    <row r="633" ht="14.25" customHeight="1">
      <c r="F633" s="14"/>
    </row>
    <row r="634" ht="14.25" customHeight="1">
      <c r="F634" s="14"/>
    </row>
    <row r="635" ht="14.25" customHeight="1">
      <c r="F635" s="14"/>
    </row>
    <row r="636" ht="14.25" customHeight="1">
      <c r="F636" s="14"/>
    </row>
    <row r="637" ht="14.25" customHeight="1">
      <c r="F637" s="14"/>
    </row>
    <row r="638" ht="14.25" customHeight="1">
      <c r="F638" s="14"/>
    </row>
    <row r="639" ht="14.25" customHeight="1">
      <c r="F639" s="14"/>
    </row>
    <row r="640" ht="14.25" customHeight="1">
      <c r="F640" s="14"/>
    </row>
    <row r="641" ht="14.25" customHeight="1">
      <c r="F641" s="14"/>
    </row>
    <row r="642" ht="14.25" customHeight="1">
      <c r="F642" s="14"/>
    </row>
    <row r="643" ht="14.25" customHeight="1">
      <c r="F643" s="14"/>
    </row>
    <row r="644" ht="14.25" customHeight="1">
      <c r="F644" s="14"/>
    </row>
    <row r="645" ht="14.25" customHeight="1">
      <c r="F645" s="14"/>
    </row>
    <row r="646" ht="14.25" customHeight="1">
      <c r="F646" s="14"/>
    </row>
    <row r="647" ht="14.25" customHeight="1">
      <c r="F647" s="14"/>
    </row>
    <row r="648" ht="14.25" customHeight="1">
      <c r="F648" s="14"/>
    </row>
    <row r="649" ht="14.25" customHeight="1">
      <c r="F649" s="14"/>
    </row>
    <row r="650" ht="14.25" customHeight="1">
      <c r="F650" s="14"/>
    </row>
    <row r="651" ht="14.25" customHeight="1">
      <c r="F651" s="14"/>
    </row>
    <row r="652" ht="14.25" customHeight="1">
      <c r="F652" s="14"/>
    </row>
    <row r="653" ht="14.25" customHeight="1">
      <c r="F653" s="14"/>
    </row>
    <row r="654" ht="14.25" customHeight="1">
      <c r="F654" s="14"/>
    </row>
    <row r="655" ht="14.25" customHeight="1">
      <c r="F655" s="14"/>
    </row>
    <row r="656" ht="14.25" customHeight="1">
      <c r="F656" s="14"/>
    </row>
    <row r="657" ht="14.25" customHeight="1">
      <c r="F657" s="14"/>
    </row>
    <row r="658" ht="14.25" customHeight="1">
      <c r="F658" s="14"/>
    </row>
    <row r="659" ht="14.25" customHeight="1">
      <c r="F659" s="14"/>
    </row>
    <row r="660" ht="14.25" customHeight="1">
      <c r="F660" s="14"/>
    </row>
    <row r="661" ht="14.25" customHeight="1">
      <c r="F661" s="14"/>
    </row>
    <row r="662" ht="14.25" customHeight="1">
      <c r="F662" s="14"/>
    </row>
    <row r="663" ht="14.25" customHeight="1">
      <c r="F663" s="14"/>
    </row>
    <row r="664" ht="14.25" customHeight="1">
      <c r="F664" s="14"/>
    </row>
    <row r="665" ht="14.25" customHeight="1">
      <c r="F665" s="14"/>
    </row>
    <row r="666" ht="14.25" customHeight="1">
      <c r="F666" s="14"/>
    </row>
    <row r="667" ht="14.25" customHeight="1">
      <c r="F667" s="14"/>
    </row>
    <row r="668" ht="14.25" customHeight="1">
      <c r="F668" s="14"/>
    </row>
    <row r="669" ht="14.25" customHeight="1">
      <c r="F669" s="14"/>
    </row>
    <row r="670" ht="14.25" customHeight="1">
      <c r="F670" s="14"/>
    </row>
    <row r="671" ht="14.25" customHeight="1">
      <c r="F671" s="14"/>
    </row>
    <row r="672" ht="14.25" customHeight="1">
      <c r="F672" s="14"/>
    </row>
    <row r="673" ht="14.25" customHeight="1">
      <c r="F673" s="14"/>
    </row>
    <row r="674" ht="14.25" customHeight="1">
      <c r="F674" s="14"/>
    </row>
    <row r="675" ht="14.25" customHeight="1">
      <c r="F675" s="14"/>
    </row>
    <row r="676" ht="14.25" customHeight="1">
      <c r="F676" s="14"/>
    </row>
    <row r="677" ht="14.25" customHeight="1">
      <c r="F677" s="14"/>
    </row>
    <row r="678" ht="14.25" customHeight="1">
      <c r="F678" s="14"/>
    </row>
    <row r="679" ht="14.25" customHeight="1">
      <c r="F679" s="14"/>
    </row>
    <row r="680" ht="14.25" customHeight="1">
      <c r="F680" s="14"/>
    </row>
    <row r="681" ht="14.25" customHeight="1">
      <c r="F681" s="14"/>
    </row>
    <row r="682" ht="14.25" customHeight="1">
      <c r="F682" s="14"/>
    </row>
    <row r="683" ht="14.25" customHeight="1">
      <c r="F683" s="14"/>
    </row>
    <row r="684" ht="14.25" customHeight="1">
      <c r="F684" s="14"/>
    </row>
    <row r="685" ht="14.25" customHeight="1">
      <c r="F685" s="14"/>
    </row>
    <row r="686" ht="14.25" customHeight="1">
      <c r="F686" s="14"/>
    </row>
    <row r="687" ht="14.25" customHeight="1">
      <c r="F687" s="14"/>
    </row>
    <row r="688" ht="14.25" customHeight="1">
      <c r="F688" s="14"/>
    </row>
    <row r="689" ht="14.25" customHeight="1">
      <c r="F689" s="14"/>
    </row>
    <row r="690" ht="14.25" customHeight="1">
      <c r="F690" s="14"/>
    </row>
    <row r="691" ht="14.25" customHeight="1">
      <c r="F691" s="14"/>
    </row>
    <row r="692" ht="14.25" customHeight="1">
      <c r="F692" s="14"/>
    </row>
    <row r="693" ht="14.25" customHeight="1">
      <c r="F693" s="14"/>
    </row>
    <row r="694" ht="14.25" customHeight="1">
      <c r="F694" s="14"/>
    </row>
    <row r="695" ht="14.25" customHeight="1">
      <c r="F695" s="14"/>
    </row>
    <row r="696" ht="14.25" customHeight="1">
      <c r="F696" s="14"/>
    </row>
    <row r="697" ht="14.25" customHeight="1">
      <c r="F697" s="14"/>
    </row>
    <row r="698" ht="14.25" customHeight="1">
      <c r="F698" s="14"/>
    </row>
    <row r="699" ht="14.25" customHeight="1">
      <c r="F699" s="14"/>
    </row>
    <row r="700" ht="14.25" customHeight="1">
      <c r="F700" s="14"/>
    </row>
    <row r="701" ht="14.25" customHeight="1">
      <c r="F701" s="14"/>
    </row>
    <row r="702" ht="14.25" customHeight="1">
      <c r="F702" s="14"/>
    </row>
    <row r="703" ht="14.25" customHeight="1">
      <c r="F703" s="14"/>
    </row>
    <row r="704" ht="14.25" customHeight="1">
      <c r="F704" s="14"/>
    </row>
    <row r="705" ht="14.25" customHeight="1">
      <c r="F705" s="14"/>
    </row>
    <row r="706" ht="14.25" customHeight="1">
      <c r="F706" s="14"/>
    </row>
    <row r="707" ht="14.25" customHeight="1">
      <c r="F707" s="14"/>
    </row>
    <row r="708" ht="14.25" customHeight="1">
      <c r="F708" s="14"/>
    </row>
    <row r="709" ht="14.25" customHeight="1">
      <c r="F709" s="14"/>
    </row>
    <row r="710" ht="14.25" customHeight="1">
      <c r="F710" s="14"/>
    </row>
    <row r="711" ht="14.25" customHeight="1">
      <c r="F711" s="14"/>
    </row>
    <row r="712" ht="14.25" customHeight="1">
      <c r="F712" s="14"/>
    </row>
    <row r="713" ht="14.25" customHeight="1">
      <c r="F713" s="14"/>
    </row>
    <row r="714" ht="14.25" customHeight="1">
      <c r="F714" s="14"/>
    </row>
    <row r="715" ht="14.25" customHeight="1">
      <c r="F715" s="14"/>
    </row>
    <row r="716" ht="14.25" customHeight="1">
      <c r="F716" s="14"/>
    </row>
    <row r="717" ht="14.25" customHeight="1">
      <c r="F717" s="14"/>
    </row>
    <row r="718" ht="14.25" customHeight="1">
      <c r="F718" s="14"/>
    </row>
    <row r="719" ht="14.25" customHeight="1">
      <c r="F719" s="14"/>
    </row>
    <row r="720" ht="14.25" customHeight="1">
      <c r="F720" s="14"/>
    </row>
    <row r="721" ht="14.25" customHeight="1">
      <c r="F721" s="14"/>
    </row>
    <row r="722" ht="14.25" customHeight="1">
      <c r="F722" s="14"/>
    </row>
    <row r="723" ht="14.25" customHeight="1">
      <c r="F723" s="14"/>
    </row>
    <row r="724" ht="14.25" customHeight="1">
      <c r="F724" s="14"/>
    </row>
    <row r="725" ht="14.25" customHeight="1">
      <c r="F725" s="14"/>
    </row>
    <row r="726" ht="14.25" customHeight="1">
      <c r="F726" s="14"/>
    </row>
    <row r="727" ht="14.25" customHeight="1">
      <c r="F727" s="14"/>
    </row>
    <row r="728" ht="14.25" customHeight="1">
      <c r="F728" s="14"/>
    </row>
    <row r="729" ht="14.25" customHeight="1">
      <c r="F729" s="14"/>
    </row>
    <row r="730" ht="14.25" customHeight="1">
      <c r="F730" s="14"/>
    </row>
    <row r="731" ht="14.25" customHeight="1">
      <c r="F731" s="14"/>
    </row>
    <row r="732" ht="14.25" customHeight="1">
      <c r="F732" s="14"/>
    </row>
    <row r="733" ht="14.25" customHeight="1">
      <c r="F733" s="14"/>
    </row>
    <row r="734" ht="14.25" customHeight="1">
      <c r="F734" s="14"/>
    </row>
    <row r="735" ht="14.25" customHeight="1">
      <c r="F735" s="14"/>
    </row>
    <row r="736" ht="14.25" customHeight="1">
      <c r="F736" s="14"/>
    </row>
    <row r="737" ht="14.25" customHeight="1">
      <c r="F737" s="14"/>
    </row>
    <row r="738" ht="14.25" customHeight="1">
      <c r="F738" s="14"/>
    </row>
    <row r="739" ht="14.25" customHeight="1">
      <c r="F739" s="14"/>
    </row>
    <row r="740" ht="14.25" customHeight="1">
      <c r="F740" s="14"/>
    </row>
    <row r="741" ht="14.25" customHeight="1">
      <c r="F741" s="14"/>
    </row>
    <row r="742" ht="14.25" customHeight="1">
      <c r="F742" s="14"/>
    </row>
    <row r="743" ht="14.25" customHeight="1">
      <c r="F743" s="14"/>
    </row>
    <row r="744" ht="14.25" customHeight="1">
      <c r="F744" s="14"/>
    </row>
    <row r="745" ht="14.25" customHeight="1">
      <c r="F745" s="14"/>
    </row>
    <row r="746" ht="14.25" customHeight="1">
      <c r="F746" s="14"/>
    </row>
    <row r="747" ht="14.25" customHeight="1">
      <c r="F747" s="14"/>
    </row>
    <row r="748" ht="14.25" customHeight="1">
      <c r="F748" s="14"/>
    </row>
    <row r="749" ht="14.25" customHeight="1">
      <c r="F749" s="14"/>
    </row>
    <row r="750" ht="14.25" customHeight="1">
      <c r="F750" s="14"/>
    </row>
    <row r="751" ht="14.25" customHeight="1">
      <c r="F751" s="14"/>
    </row>
    <row r="752" ht="14.25" customHeight="1">
      <c r="F752" s="14"/>
    </row>
    <row r="753" ht="14.25" customHeight="1">
      <c r="F753" s="14"/>
    </row>
    <row r="754" ht="14.25" customHeight="1">
      <c r="F754" s="14"/>
    </row>
    <row r="755" ht="14.25" customHeight="1">
      <c r="F755" s="14"/>
    </row>
    <row r="756" ht="14.25" customHeight="1">
      <c r="F756" s="14"/>
    </row>
    <row r="757" ht="14.25" customHeight="1">
      <c r="F757" s="14"/>
    </row>
    <row r="758" ht="14.25" customHeight="1">
      <c r="F758" s="14"/>
    </row>
    <row r="759" ht="14.25" customHeight="1">
      <c r="F759" s="14"/>
    </row>
    <row r="760" ht="14.25" customHeight="1">
      <c r="F760" s="14"/>
    </row>
    <row r="761" ht="14.25" customHeight="1">
      <c r="F761" s="14"/>
    </row>
    <row r="762" ht="14.25" customHeight="1">
      <c r="F762" s="14"/>
    </row>
    <row r="763" ht="14.25" customHeight="1">
      <c r="F763" s="14"/>
    </row>
    <row r="764" ht="14.25" customHeight="1">
      <c r="F764" s="14"/>
    </row>
    <row r="765" ht="14.25" customHeight="1">
      <c r="F765" s="14"/>
    </row>
    <row r="766" ht="14.25" customHeight="1">
      <c r="F766" s="14"/>
    </row>
    <row r="767" ht="14.25" customHeight="1">
      <c r="F767" s="14"/>
    </row>
    <row r="768" ht="14.25" customHeight="1">
      <c r="F768" s="14"/>
    </row>
    <row r="769" ht="14.25" customHeight="1">
      <c r="F769" s="14"/>
    </row>
    <row r="770" ht="14.25" customHeight="1">
      <c r="F770" s="14"/>
    </row>
    <row r="771" ht="14.25" customHeight="1">
      <c r="F771" s="14"/>
    </row>
    <row r="772" ht="14.25" customHeight="1">
      <c r="F772" s="14"/>
    </row>
    <row r="773" ht="14.25" customHeight="1">
      <c r="F773" s="14"/>
    </row>
    <row r="774" ht="14.25" customHeight="1">
      <c r="F774" s="14"/>
    </row>
    <row r="775" ht="14.25" customHeight="1">
      <c r="F775" s="14"/>
    </row>
    <row r="776" ht="14.25" customHeight="1">
      <c r="F776" s="14"/>
    </row>
    <row r="777" ht="14.25" customHeight="1">
      <c r="F777" s="14"/>
    </row>
    <row r="778" ht="14.25" customHeight="1">
      <c r="F778" s="14"/>
    </row>
    <row r="779" ht="14.25" customHeight="1">
      <c r="F779" s="14"/>
    </row>
    <row r="780" ht="14.25" customHeight="1">
      <c r="F780" s="14"/>
    </row>
    <row r="781" ht="14.25" customHeight="1">
      <c r="F781" s="14"/>
    </row>
    <row r="782" ht="14.25" customHeight="1">
      <c r="F782" s="14"/>
    </row>
    <row r="783" ht="14.25" customHeight="1">
      <c r="F783" s="14"/>
    </row>
    <row r="784" ht="14.25" customHeight="1">
      <c r="F784" s="14"/>
    </row>
    <row r="785" ht="14.25" customHeight="1">
      <c r="F785" s="14"/>
    </row>
    <row r="786" ht="14.25" customHeight="1">
      <c r="F786" s="14"/>
    </row>
    <row r="787" ht="14.25" customHeight="1">
      <c r="F787" s="14"/>
    </row>
    <row r="788" ht="14.25" customHeight="1">
      <c r="F788" s="14"/>
    </row>
    <row r="789" ht="14.25" customHeight="1">
      <c r="F789" s="14"/>
    </row>
    <row r="790" ht="14.25" customHeight="1">
      <c r="F790" s="14"/>
    </row>
    <row r="791" ht="14.25" customHeight="1">
      <c r="F791" s="14"/>
    </row>
    <row r="792" ht="14.25" customHeight="1">
      <c r="F792" s="14"/>
    </row>
    <row r="793" ht="14.25" customHeight="1">
      <c r="F793" s="14"/>
    </row>
    <row r="794" ht="14.25" customHeight="1">
      <c r="F794" s="14"/>
    </row>
    <row r="795" ht="14.25" customHeight="1">
      <c r="F795" s="14"/>
    </row>
    <row r="796" ht="14.25" customHeight="1">
      <c r="F796" s="14"/>
    </row>
    <row r="797" ht="14.25" customHeight="1">
      <c r="F797" s="14"/>
    </row>
    <row r="798" ht="14.25" customHeight="1">
      <c r="F798" s="14"/>
    </row>
    <row r="799" ht="14.25" customHeight="1">
      <c r="F799" s="14"/>
    </row>
    <row r="800" ht="14.25" customHeight="1">
      <c r="F800" s="14"/>
    </row>
    <row r="801" ht="14.25" customHeight="1">
      <c r="F801" s="14"/>
    </row>
    <row r="802" ht="14.25" customHeight="1">
      <c r="F802" s="14"/>
    </row>
    <row r="803" ht="14.25" customHeight="1">
      <c r="F803" s="14"/>
    </row>
    <row r="804" ht="14.25" customHeight="1">
      <c r="F804" s="14"/>
    </row>
    <row r="805" ht="14.25" customHeight="1">
      <c r="F805" s="14"/>
    </row>
    <row r="806" ht="14.25" customHeight="1">
      <c r="F806" s="14"/>
    </row>
    <row r="807" ht="14.25" customHeight="1">
      <c r="F807" s="14"/>
    </row>
    <row r="808" ht="14.25" customHeight="1">
      <c r="F808" s="14"/>
    </row>
    <row r="809" ht="14.25" customHeight="1">
      <c r="F809" s="14"/>
    </row>
    <row r="810" ht="14.25" customHeight="1">
      <c r="F810" s="14"/>
    </row>
    <row r="811" ht="14.25" customHeight="1">
      <c r="F811" s="14"/>
    </row>
    <row r="812" ht="14.25" customHeight="1">
      <c r="F812" s="14"/>
    </row>
    <row r="813" ht="14.25" customHeight="1">
      <c r="F813" s="14"/>
    </row>
    <row r="814" ht="14.25" customHeight="1">
      <c r="F814" s="14"/>
    </row>
    <row r="815" ht="14.25" customHeight="1">
      <c r="F815" s="14"/>
    </row>
    <row r="816" ht="14.25" customHeight="1">
      <c r="F816" s="14"/>
    </row>
    <row r="817" ht="14.25" customHeight="1">
      <c r="F817" s="14"/>
    </row>
    <row r="818" ht="14.25" customHeight="1">
      <c r="F818" s="14"/>
    </row>
    <row r="819" ht="14.25" customHeight="1">
      <c r="F819" s="14"/>
    </row>
    <row r="820" ht="14.25" customHeight="1">
      <c r="F820" s="14"/>
    </row>
    <row r="821" ht="14.25" customHeight="1">
      <c r="F821" s="14"/>
    </row>
    <row r="822" ht="14.25" customHeight="1">
      <c r="F822" s="14"/>
    </row>
    <row r="823" ht="14.25" customHeight="1">
      <c r="F823" s="14"/>
    </row>
    <row r="824" ht="14.25" customHeight="1">
      <c r="F824" s="14"/>
    </row>
    <row r="825" ht="14.25" customHeight="1">
      <c r="F825" s="14"/>
    </row>
    <row r="826" ht="14.25" customHeight="1">
      <c r="F826" s="14"/>
    </row>
    <row r="827" ht="14.25" customHeight="1">
      <c r="F827" s="14"/>
    </row>
    <row r="828" ht="14.25" customHeight="1">
      <c r="F828" s="14"/>
    </row>
    <row r="829" ht="14.25" customHeight="1">
      <c r="F829" s="14"/>
    </row>
    <row r="830" ht="14.25" customHeight="1">
      <c r="F830" s="14"/>
    </row>
    <row r="831" ht="14.25" customHeight="1">
      <c r="F831" s="14"/>
    </row>
    <row r="832" ht="14.25" customHeight="1">
      <c r="F832" s="14"/>
    </row>
    <row r="833" ht="14.25" customHeight="1">
      <c r="F833" s="14"/>
    </row>
    <row r="834" ht="14.25" customHeight="1">
      <c r="F834" s="14"/>
    </row>
    <row r="835" ht="14.25" customHeight="1">
      <c r="F835" s="14"/>
    </row>
    <row r="836" ht="14.25" customHeight="1">
      <c r="F836" s="14"/>
    </row>
    <row r="837" ht="14.25" customHeight="1">
      <c r="F837" s="14"/>
    </row>
    <row r="838" ht="14.25" customHeight="1">
      <c r="F838" s="14"/>
    </row>
    <row r="839" ht="14.25" customHeight="1">
      <c r="F839" s="14"/>
    </row>
    <row r="840" ht="14.25" customHeight="1">
      <c r="F840" s="14"/>
    </row>
    <row r="841" ht="14.25" customHeight="1">
      <c r="F841" s="14"/>
    </row>
    <row r="842" ht="14.25" customHeight="1">
      <c r="F842" s="14"/>
    </row>
    <row r="843" ht="14.25" customHeight="1">
      <c r="F843" s="14"/>
    </row>
    <row r="844" ht="14.25" customHeight="1">
      <c r="F844" s="14"/>
    </row>
    <row r="845" ht="14.25" customHeight="1">
      <c r="F845" s="14"/>
    </row>
    <row r="846" ht="14.25" customHeight="1">
      <c r="F846" s="14"/>
    </row>
    <row r="847" ht="14.25" customHeight="1">
      <c r="F847" s="14"/>
    </row>
    <row r="848" ht="14.25" customHeight="1">
      <c r="F848" s="14"/>
    </row>
    <row r="849" ht="14.25" customHeight="1">
      <c r="F849" s="14"/>
    </row>
    <row r="850" ht="14.25" customHeight="1">
      <c r="F850" s="14"/>
    </row>
    <row r="851" ht="14.25" customHeight="1">
      <c r="F851" s="14"/>
    </row>
    <row r="852" ht="14.25" customHeight="1">
      <c r="F852" s="14"/>
    </row>
    <row r="853" ht="14.25" customHeight="1">
      <c r="F853" s="14"/>
    </row>
    <row r="854" ht="14.25" customHeight="1">
      <c r="F854" s="14"/>
    </row>
    <row r="855" ht="14.25" customHeight="1">
      <c r="F855" s="14"/>
    </row>
    <row r="856" ht="14.25" customHeight="1">
      <c r="F856" s="14"/>
    </row>
    <row r="857" ht="14.25" customHeight="1">
      <c r="F857" s="14"/>
    </row>
    <row r="858" ht="14.25" customHeight="1">
      <c r="F858" s="14"/>
    </row>
    <row r="859" ht="14.25" customHeight="1">
      <c r="F859" s="14"/>
    </row>
    <row r="860" ht="14.25" customHeight="1">
      <c r="F860" s="14"/>
    </row>
    <row r="861" ht="14.25" customHeight="1">
      <c r="F861" s="14"/>
    </row>
    <row r="862" ht="14.25" customHeight="1">
      <c r="F862" s="14"/>
    </row>
    <row r="863" ht="14.25" customHeight="1">
      <c r="F863" s="14"/>
    </row>
    <row r="864" ht="14.25" customHeight="1">
      <c r="F864" s="14"/>
    </row>
    <row r="865" ht="14.25" customHeight="1">
      <c r="F865" s="14"/>
    </row>
    <row r="866" ht="14.25" customHeight="1">
      <c r="F866" s="14"/>
    </row>
    <row r="867" ht="14.25" customHeight="1">
      <c r="F867" s="14"/>
    </row>
    <row r="868" ht="14.25" customHeight="1">
      <c r="F868" s="14"/>
    </row>
    <row r="869" ht="14.25" customHeight="1">
      <c r="F869" s="14"/>
    </row>
    <row r="870" ht="14.25" customHeight="1">
      <c r="F870" s="14"/>
    </row>
    <row r="871" ht="14.25" customHeight="1">
      <c r="F871" s="14"/>
    </row>
    <row r="872" ht="14.25" customHeight="1">
      <c r="F872" s="14"/>
    </row>
    <row r="873" ht="14.25" customHeight="1">
      <c r="F873" s="14"/>
    </row>
    <row r="874" ht="14.25" customHeight="1">
      <c r="F874" s="14"/>
    </row>
    <row r="875" ht="14.25" customHeight="1">
      <c r="F875" s="14"/>
    </row>
    <row r="876" ht="14.25" customHeight="1">
      <c r="F876" s="14"/>
    </row>
    <row r="877" ht="14.25" customHeight="1">
      <c r="F877" s="14"/>
    </row>
    <row r="878" ht="14.25" customHeight="1">
      <c r="F878" s="14"/>
    </row>
    <row r="879" ht="14.25" customHeight="1">
      <c r="F879" s="14"/>
    </row>
    <row r="880" ht="14.25" customHeight="1">
      <c r="F880" s="14"/>
    </row>
    <row r="881" ht="14.25" customHeight="1">
      <c r="F881" s="14"/>
    </row>
    <row r="882" ht="14.25" customHeight="1">
      <c r="F882" s="14"/>
    </row>
    <row r="883" ht="14.25" customHeight="1">
      <c r="F883" s="14"/>
    </row>
    <row r="884" ht="14.25" customHeight="1">
      <c r="F884" s="14"/>
    </row>
    <row r="885" ht="14.25" customHeight="1">
      <c r="F885" s="14"/>
    </row>
    <row r="886" ht="14.25" customHeight="1">
      <c r="F886" s="14"/>
    </row>
    <row r="887" ht="14.25" customHeight="1">
      <c r="F887" s="14"/>
    </row>
    <row r="888" ht="14.25" customHeight="1">
      <c r="F888" s="14"/>
    </row>
    <row r="889" ht="14.25" customHeight="1">
      <c r="F889" s="14"/>
    </row>
    <row r="890" ht="14.25" customHeight="1">
      <c r="F890" s="14"/>
    </row>
    <row r="891" ht="14.25" customHeight="1">
      <c r="F891" s="14"/>
    </row>
    <row r="892" ht="14.25" customHeight="1">
      <c r="F892" s="14"/>
    </row>
    <row r="893" ht="14.25" customHeight="1">
      <c r="F893" s="14"/>
    </row>
    <row r="894" ht="14.25" customHeight="1">
      <c r="F894" s="14"/>
    </row>
    <row r="895" ht="14.25" customHeight="1">
      <c r="F895" s="14"/>
    </row>
    <row r="896" ht="14.25" customHeight="1">
      <c r="F896" s="14"/>
    </row>
    <row r="897" ht="14.25" customHeight="1">
      <c r="F897" s="14"/>
    </row>
    <row r="898" ht="14.25" customHeight="1">
      <c r="F898" s="14"/>
    </row>
    <row r="899" ht="14.25" customHeight="1">
      <c r="F899" s="14"/>
    </row>
    <row r="900" ht="14.25" customHeight="1">
      <c r="F900" s="14"/>
    </row>
    <row r="901" ht="14.25" customHeight="1">
      <c r="F901" s="14"/>
    </row>
    <row r="902" ht="14.25" customHeight="1">
      <c r="F902" s="14"/>
    </row>
    <row r="903" ht="14.25" customHeight="1">
      <c r="F903" s="14"/>
    </row>
    <row r="904" ht="14.25" customHeight="1">
      <c r="F904" s="14"/>
    </row>
    <row r="905" ht="14.25" customHeight="1">
      <c r="F905" s="14"/>
    </row>
    <row r="906" ht="14.25" customHeight="1">
      <c r="F906" s="14"/>
    </row>
    <row r="907" ht="14.25" customHeight="1">
      <c r="F907" s="14"/>
    </row>
    <row r="908" ht="14.25" customHeight="1">
      <c r="F908" s="14"/>
    </row>
    <row r="909" ht="14.25" customHeight="1">
      <c r="F909" s="14"/>
    </row>
    <row r="910" ht="14.25" customHeight="1">
      <c r="F910" s="14"/>
    </row>
    <row r="911" ht="14.25" customHeight="1">
      <c r="F911" s="14"/>
    </row>
    <row r="912" ht="14.25" customHeight="1">
      <c r="F912" s="14"/>
    </row>
    <row r="913" ht="14.25" customHeight="1">
      <c r="F913" s="14"/>
    </row>
    <row r="914" ht="14.25" customHeight="1">
      <c r="F914" s="14"/>
    </row>
    <row r="915" ht="14.25" customHeight="1">
      <c r="F915" s="14"/>
    </row>
    <row r="916" ht="14.25" customHeight="1">
      <c r="F916" s="14"/>
    </row>
    <row r="917" ht="14.25" customHeight="1">
      <c r="F917" s="14"/>
    </row>
    <row r="918" ht="14.25" customHeight="1">
      <c r="F918" s="14"/>
    </row>
    <row r="919" ht="14.25" customHeight="1">
      <c r="F919" s="14"/>
    </row>
    <row r="920" ht="14.25" customHeight="1">
      <c r="F920" s="14"/>
    </row>
    <row r="921" ht="14.25" customHeight="1">
      <c r="F921" s="14"/>
    </row>
    <row r="922" ht="14.25" customHeight="1">
      <c r="F922" s="14"/>
    </row>
    <row r="923" ht="14.25" customHeight="1">
      <c r="F923" s="14"/>
    </row>
    <row r="924" ht="14.25" customHeight="1">
      <c r="F924" s="14"/>
    </row>
    <row r="925" ht="14.25" customHeight="1">
      <c r="F925" s="14"/>
    </row>
    <row r="926" ht="14.25" customHeight="1">
      <c r="F926" s="14"/>
    </row>
    <row r="927" ht="14.25" customHeight="1">
      <c r="F927" s="14"/>
    </row>
    <row r="928" ht="14.25" customHeight="1">
      <c r="F928" s="14"/>
    </row>
    <row r="929" ht="14.25" customHeight="1">
      <c r="F929" s="14"/>
    </row>
    <row r="930" ht="14.25" customHeight="1">
      <c r="F930" s="14"/>
    </row>
    <row r="931" ht="14.25" customHeight="1">
      <c r="F931" s="14"/>
    </row>
    <row r="932" ht="14.25" customHeight="1">
      <c r="F932" s="14"/>
    </row>
    <row r="933" ht="14.25" customHeight="1">
      <c r="F933" s="14"/>
    </row>
    <row r="934" ht="14.25" customHeight="1">
      <c r="F934" s="14"/>
    </row>
    <row r="935" ht="14.25" customHeight="1">
      <c r="F935" s="14"/>
    </row>
    <row r="936" ht="14.25" customHeight="1">
      <c r="F936" s="14"/>
    </row>
    <row r="937" ht="14.25" customHeight="1">
      <c r="F937" s="14"/>
    </row>
    <row r="938" ht="14.25" customHeight="1">
      <c r="F938" s="14"/>
    </row>
    <row r="939" ht="14.25" customHeight="1">
      <c r="F939" s="14"/>
    </row>
    <row r="940" ht="14.25" customHeight="1">
      <c r="F940" s="14"/>
    </row>
    <row r="941" ht="14.25" customHeight="1">
      <c r="F941" s="14"/>
    </row>
    <row r="942" ht="14.25" customHeight="1">
      <c r="F942" s="14"/>
    </row>
    <row r="943" ht="14.25" customHeight="1">
      <c r="F943" s="14"/>
    </row>
    <row r="944" ht="14.25" customHeight="1">
      <c r="F944" s="14"/>
    </row>
    <row r="945" ht="14.25" customHeight="1">
      <c r="F945" s="14"/>
    </row>
    <row r="946" ht="14.25" customHeight="1">
      <c r="F946" s="14"/>
    </row>
    <row r="947" ht="14.25" customHeight="1">
      <c r="F947" s="14"/>
    </row>
    <row r="948" ht="14.25" customHeight="1">
      <c r="F948" s="14"/>
    </row>
    <row r="949" ht="14.25" customHeight="1">
      <c r="F949" s="14"/>
    </row>
    <row r="950" ht="14.25" customHeight="1">
      <c r="F950" s="14"/>
    </row>
    <row r="951" ht="14.25" customHeight="1">
      <c r="F951" s="14"/>
    </row>
    <row r="952" ht="14.25" customHeight="1">
      <c r="F952" s="14"/>
    </row>
    <row r="953" ht="14.25" customHeight="1">
      <c r="F953" s="14"/>
    </row>
    <row r="954" ht="14.25" customHeight="1">
      <c r="F954" s="14"/>
    </row>
    <row r="955" ht="14.25" customHeight="1">
      <c r="F955" s="14"/>
    </row>
    <row r="956" ht="14.25" customHeight="1">
      <c r="F956" s="14"/>
    </row>
    <row r="957" ht="14.25" customHeight="1">
      <c r="F957" s="14"/>
    </row>
    <row r="958" ht="14.25" customHeight="1">
      <c r="F958" s="14"/>
    </row>
    <row r="959" ht="14.25" customHeight="1">
      <c r="F959" s="14"/>
    </row>
    <row r="960" ht="14.25" customHeight="1">
      <c r="F960" s="14"/>
    </row>
    <row r="961" ht="14.25" customHeight="1">
      <c r="F961" s="14"/>
    </row>
    <row r="962" ht="14.25" customHeight="1">
      <c r="F962" s="14"/>
    </row>
    <row r="963" ht="14.25" customHeight="1">
      <c r="F963" s="14"/>
    </row>
    <row r="964" ht="14.25" customHeight="1">
      <c r="F964" s="14"/>
    </row>
    <row r="965" ht="14.25" customHeight="1">
      <c r="F965" s="14"/>
    </row>
    <row r="966" ht="14.25" customHeight="1">
      <c r="F966" s="14"/>
    </row>
    <row r="967" ht="14.25" customHeight="1">
      <c r="F967" s="14"/>
    </row>
    <row r="968" ht="14.25" customHeight="1">
      <c r="F968" s="14"/>
    </row>
    <row r="969" ht="14.25" customHeight="1">
      <c r="F969" s="14"/>
    </row>
    <row r="970" ht="14.25" customHeight="1">
      <c r="F970" s="14"/>
    </row>
    <row r="971" ht="14.25" customHeight="1">
      <c r="F971" s="14"/>
    </row>
    <row r="972" ht="14.25" customHeight="1">
      <c r="F972" s="14"/>
    </row>
    <row r="973" ht="14.25" customHeight="1">
      <c r="F973" s="14"/>
    </row>
    <row r="974" ht="14.25" customHeight="1">
      <c r="F974" s="14"/>
    </row>
    <row r="975" ht="14.25" customHeight="1">
      <c r="F975" s="14"/>
    </row>
    <row r="976" ht="14.25" customHeight="1">
      <c r="F976" s="14"/>
    </row>
    <row r="977" ht="14.25" customHeight="1">
      <c r="F977" s="14"/>
    </row>
    <row r="978" ht="14.25" customHeight="1">
      <c r="F978" s="14"/>
    </row>
    <row r="979" ht="14.25" customHeight="1">
      <c r="F979" s="14"/>
    </row>
    <row r="980" ht="14.25" customHeight="1">
      <c r="F980" s="14"/>
    </row>
    <row r="981" ht="14.25" customHeight="1">
      <c r="F981" s="14"/>
    </row>
    <row r="982" ht="14.25" customHeight="1">
      <c r="F982" s="14"/>
    </row>
    <row r="983" ht="14.25" customHeight="1">
      <c r="F983" s="14"/>
    </row>
    <row r="984" ht="14.25" customHeight="1">
      <c r="F984" s="14"/>
    </row>
    <row r="985" ht="14.25" customHeight="1">
      <c r="F985" s="14"/>
    </row>
    <row r="986" ht="14.25" customHeight="1">
      <c r="F986" s="14"/>
    </row>
    <row r="987" ht="14.25" customHeight="1">
      <c r="F987" s="14"/>
    </row>
    <row r="988" ht="14.25" customHeight="1">
      <c r="F988" s="14"/>
    </row>
    <row r="989" ht="14.25" customHeight="1">
      <c r="F989" s="14"/>
    </row>
    <row r="990" ht="14.25" customHeight="1">
      <c r="F990" s="14"/>
    </row>
    <row r="991" ht="14.25" customHeight="1">
      <c r="F991" s="14"/>
    </row>
    <row r="992" ht="14.25" customHeight="1">
      <c r="F992" s="14"/>
    </row>
    <row r="993" ht="14.25" customHeight="1">
      <c r="F993" s="14"/>
    </row>
    <row r="994" ht="14.25" customHeight="1">
      <c r="F994" s="14"/>
    </row>
    <row r="995" ht="14.25" customHeight="1">
      <c r="F995" s="14"/>
    </row>
    <row r="996" ht="14.25" customHeight="1">
      <c r="F996" s="14"/>
    </row>
    <row r="997" ht="14.25" customHeight="1">
      <c r="F997" s="14"/>
    </row>
    <row r="998" ht="14.25" customHeight="1">
      <c r="F998" s="14"/>
    </row>
    <row r="999" ht="14.25" customHeight="1">
      <c r="F999" s="14"/>
    </row>
    <row r="1000" ht="14.25" customHeight="1">
      <c r="F1000" s="14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2" t="s">
        <v>3</v>
      </c>
      <c r="B1" s="23" t="s">
        <v>77</v>
      </c>
      <c r="C1" s="23" t="s">
        <v>78</v>
      </c>
    </row>
    <row r="2">
      <c r="A2" s="22" t="s">
        <v>79</v>
      </c>
      <c r="B2" s="24">
        <v>39.780511</v>
      </c>
      <c r="C2" s="24">
        <v>-104.915159</v>
      </c>
    </row>
    <row r="3">
      <c r="A3" s="22" t="s">
        <v>32</v>
      </c>
      <c r="B3" s="24">
        <v>39.780437</v>
      </c>
      <c r="C3" s="24">
        <v>-104.9127</v>
      </c>
    </row>
    <row r="4">
      <c r="A4" s="22" t="s">
        <v>29</v>
      </c>
      <c r="B4" s="24">
        <v>39.793264</v>
      </c>
      <c r="C4" s="24">
        <v>-104.921323</v>
      </c>
    </row>
    <row r="5">
      <c r="A5" s="22" t="s">
        <v>30</v>
      </c>
      <c r="B5" s="24">
        <v>39.780116</v>
      </c>
      <c r="C5" s="24">
        <v>-104.887869</v>
      </c>
    </row>
    <row r="6">
      <c r="A6" s="22" t="s">
        <v>31</v>
      </c>
      <c r="B6" s="24">
        <v>39.798599</v>
      </c>
      <c r="C6" s="24">
        <v>-104.903873</v>
      </c>
    </row>
    <row r="7">
      <c r="A7" s="22" t="s">
        <v>28</v>
      </c>
      <c r="B7" s="24">
        <v>39.809994</v>
      </c>
      <c r="C7" s="24">
        <v>-104.896923</v>
      </c>
    </row>
    <row r="8">
      <c r="A8" s="22">
        <v>3503.0</v>
      </c>
      <c r="B8" s="24">
        <v>39.825773</v>
      </c>
      <c r="C8" s="24">
        <v>-104.897113</v>
      </c>
    </row>
    <row r="9">
      <c r="A9" s="22" t="s">
        <v>33</v>
      </c>
      <c r="B9" s="24">
        <v>39.804028</v>
      </c>
      <c r="C9" s="24">
        <v>-104.913236</v>
      </c>
    </row>
    <row r="10">
      <c r="A10" s="22">
        <v>4044.0</v>
      </c>
      <c r="B10" s="24">
        <v>39.817709</v>
      </c>
      <c r="C10" s="24">
        <v>-104.899902</v>
      </c>
    </row>
    <row r="11">
      <c r="A11" s="22" t="s">
        <v>35</v>
      </c>
      <c r="B11" s="24">
        <v>39.835479</v>
      </c>
      <c r="C11" s="24">
        <v>-104.903365</v>
      </c>
    </row>
    <row r="12">
      <c r="A12" s="22" t="s">
        <v>34</v>
      </c>
      <c r="B12" s="24">
        <v>39.856436</v>
      </c>
      <c r="C12" s="24">
        <v>-104.897393</v>
      </c>
    </row>
    <row r="13">
      <c r="A13" s="22" t="s">
        <v>36</v>
      </c>
      <c r="B13" s="24">
        <v>39.75997</v>
      </c>
      <c r="C13" s="24">
        <v>-104.85631</v>
      </c>
    </row>
    <row r="14">
      <c r="A14" s="22" t="s">
        <v>37</v>
      </c>
      <c r="B14" s="24">
        <v>39.7481</v>
      </c>
      <c r="C14" s="24">
        <v>-104.8558</v>
      </c>
    </row>
    <row r="15">
      <c r="A15" s="22" t="s">
        <v>71</v>
      </c>
      <c r="B15" s="24">
        <v>39.754567</v>
      </c>
      <c r="C15" s="24">
        <v>-104.879116</v>
      </c>
    </row>
    <row r="16">
      <c r="A16" s="22" t="s">
        <v>73</v>
      </c>
      <c r="B16" s="24">
        <v>39.767678</v>
      </c>
      <c r="C16" s="24">
        <v>-104.875137</v>
      </c>
    </row>
    <row r="17">
      <c r="A17" s="22" t="s">
        <v>74</v>
      </c>
      <c r="B17" s="24">
        <v>39.762518</v>
      </c>
      <c r="C17" s="24">
        <v>-104.8605</v>
      </c>
    </row>
    <row r="18">
      <c r="A18" s="22" t="s">
        <v>75</v>
      </c>
      <c r="B18" s="24">
        <v>39.771353</v>
      </c>
      <c r="C18" s="24">
        <v>-104.886632</v>
      </c>
    </row>
    <row r="19">
      <c r="A19" s="22" t="s">
        <v>76</v>
      </c>
      <c r="B19" s="24">
        <v>39.77613</v>
      </c>
      <c r="C19" s="24">
        <v>-104.896157</v>
      </c>
    </row>
    <row r="20">
      <c r="A20" s="22" t="s">
        <v>51</v>
      </c>
      <c r="B20" s="24">
        <v>39.7960669395</v>
      </c>
      <c r="C20" s="24">
        <v>-104.901589597</v>
      </c>
    </row>
    <row r="21">
      <c r="A21" s="22" t="s">
        <v>40</v>
      </c>
      <c r="B21" s="24">
        <v>39.7979580528</v>
      </c>
      <c r="C21" s="24">
        <v>-104.901650022</v>
      </c>
    </row>
    <row r="22">
      <c r="A22" s="22" t="s">
        <v>45</v>
      </c>
      <c r="B22" s="24">
        <v>39.7981330154</v>
      </c>
      <c r="C22" s="24">
        <v>-104.898904097</v>
      </c>
    </row>
    <row r="23">
      <c r="A23" s="22" t="s">
        <v>48</v>
      </c>
      <c r="B23" s="24">
        <v>39.7949348056</v>
      </c>
      <c r="C23" s="24">
        <v>-104.897478312</v>
      </c>
    </row>
    <row r="24">
      <c r="A24" s="22" t="s">
        <v>65</v>
      </c>
      <c r="B24" s="24">
        <v>39.809909</v>
      </c>
      <c r="C24" s="24">
        <v>-104.90734</v>
      </c>
    </row>
    <row r="25">
      <c r="A25" s="22" t="s">
        <v>66</v>
      </c>
      <c r="B25" s="24">
        <v>39.81773</v>
      </c>
      <c r="C25" s="24">
        <v>-104.941464</v>
      </c>
    </row>
    <row r="26">
      <c r="A26" s="22" t="s">
        <v>64</v>
      </c>
      <c r="B26" s="24">
        <v>39.807789</v>
      </c>
      <c r="C26" s="24">
        <v>-104.920552</v>
      </c>
    </row>
    <row r="27">
      <c r="A27" s="22" t="s">
        <v>68</v>
      </c>
      <c r="B27" s="24">
        <v>39.824142</v>
      </c>
      <c r="C27" s="24">
        <v>-104.934779</v>
      </c>
    </row>
    <row r="28">
      <c r="A28" s="22" t="s">
        <v>69</v>
      </c>
      <c r="B28" s="24">
        <v>39.824686</v>
      </c>
      <c r="C28" s="24">
        <v>-104.934298</v>
      </c>
    </row>
    <row r="29">
      <c r="A29" s="22" t="s">
        <v>62</v>
      </c>
      <c r="B29" s="24">
        <v>39.827749</v>
      </c>
      <c r="C29" s="24">
        <v>-104.932923</v>
      </c>
    </row>
    <row r="30">
      <c r="A30" s="22" t="s">
        <v>67</v>
      </c>
      <c r="B30" s="24">
        <v>39.822635</v>
      </c>
      <c r="C30" s="24">
        <v>-104.939185</v>
      </c>
    </row>
    <row r="31">
      <c r="A31" s="22">
        <v>1063.0</v>
      </c>
      <c r="B31" s="24">
        <v>39.8271185625</v>
      </c>
      <c r="C31" s="24">
        <v>-104.833620493</v>
      </c>
    </row>
    <row r="32">
      <c r="A32" s="22">
        <v>1078.0</v>
      </c>
      <c r="B32" s="24">
        <v>39.8253989202</v>
      </c>
      <c r="C32" s="24">
        <v>-104.84346029</v>
      </c>
    </row>
    <row r="33">
      <c r="A33" s="22">
        <v>1525.0</v>
      </c>
      <c r="B33" s="24">
        <v>39.8264933513</v>
      </c>
      <c r="C33" s="24">
        <v>-104.841851154</v>
      </c>
    </row>
    <row r="34">
      <c r="A34" s="22">
        <v>2505.0</v>
      </c>
      <c r="B34" s="24">
        <v>39.8162734849</v>
      </c>
      <c r="C34" s="24">
        <v>-104.85121589</v>
      </c>
    </row>
    <row r="35">
      <c r="A35" s="22">
        <v>3503.0</v>
      </c>
      <c r="B35" s="24">
        <v>39.8189188743</v>
      </c>
      <c r="C35" s="24">
        <v>-104.881910167</v>
      </c>
    </row>
    <row r="36">
      <c r="A36" s="22">
        <v>4303.0</v>
      </c>
      <c r="B36" s="24">
        <v>39.8258723247</v>
      </c>
      <c r="C36" s="24">
        <v>-104.897334924</v>
      </c>
    </row>
    <row r="37">
      <c r="A37" s="22">
        <v>22008.0</v>
      </c>
      <c r="B37" s="24">
        <v>39.85656863</v>
      </c>
      <c r="C37" s="24">
        <v>-104.874837538</v>
      </c>
    </row>
    <row r="38">
      <c r="A38" s="22">
        <v>22505.0</v>
      </c>
      <c r="B38" s="24">
        <v>39.8617929165</v>
      </c>
      <c r="C38" s="24">
        <v>-104.870792905</v>
      </c>
    </row>
    <row r="39">
      <c r="A39" s="22">
        <v>24201.0</v>
      </c>
      <c r="B39" s="24">
        <v>39.8646628907</v>
      </c>
      <c r="C39" s="24">
        <v>-104.844917696</v>
      </c>
    </row>
    <row r="40">
      <c r="A40" s="22">
        <v>25054.0</v>
      </c>
      <c r="B40" s="24">
        <v>39.8515691429</v>
      </c>
      <c r="C40" s="24">
        <v>-104.836085457</v>
      </c>
    </row>
    <row r="41">
      <c r="A41" s="22">
        <v>26017.0</v>
      </c>
      <c r="B41" s="24">
        <v>39.8544859231</v>
      </c>
      <c r="C41" s="24">
        <v>-104.860534318</v>
      </c>
    </row>
    <row r="42">
      <c r="A42" s="22">
        <v>26157.0</v>
      </c>
      <c r="B42" s="24">
        <v>39.8557063545</v>
      </c>
      <c r="C42" s="24">
        <v>-104.852458679</v>
      </c>
    </row>
    <row r="43">
      <c r="A43" s="22">
        <v>27517.0</v>
      </c>
      <c r="B43" s="24">
        <v>39.8496991581</v>
      </c>
      <c r="C43" s="24">
        <v>-104.882853456</v>
      </c>
    </row>
    <row r="44">
      <c r="A44" s="22">
        <v>35065.0</v>
      </c>
      <c r="B44" s="24">
        <v>39.8389401272</v>
      </c>
      <c r="C44" s="24">
        <v>-104.847040869</v>
      </c>
    </row>
    <row r="45">
      <c r="A45" s="22">
        <v>35514.0</v>
      </c>
      <c r="B45" s="24">
        <v>39.8409746319</v>
      </c>
      <c r="C45" s="24">
        <v>-104.851444408</v>
      </c>
    </row>
    <row r="46">
      <c r="A46" s="22">
        <v>36201.0</v>
      </c>
      <c r="B46" s="24">
        <v>39.8380503518</v>
      </c>
      <c r="C46" s="24">
        <v>-104.833115098</v>
      </c>
    </row>
    <row r="47">
      <c r="A47" s="22">
        <v>36305.0</v>
      </c>
      <c r="B47" s="24">
        <v>39.8336455948</v>
      </c>
      <c r="C47" s="24">
        <v>-104.837178198</v>
      </c>
    </row>
    <row r="48">
      <c r="A48" s="22">
        <v>36594.0</v>
      </c>
      <c r="B48" s="24">
        <v>39.8387327471</v>
      </c>
      <c r="C48" s="24">
        <v>-104.8310181</v>
      </c>
    </row>
    <row r="49">
      <c r="A49" s="22">
        <v>37065.0</v>
      </c>
      <c r="B49" s="24">
        <v>39.8765423994</v>
      </c>
      <c r="C49" s="24">
        <v>-104.853244597</v>
      </c>
    </row>
    <row r="50">
      <c r="A50" s="22">
        <v>37095.0</v>
      </c>
      <c r="B50" s="24">
        <v>39.887926799</v>
      </c>
      <c r="C50" s="24">
        <v>-104.844420206</v>
      </c>
    </row>
    <row r="51">
      <c r="A51" s="22">
        <v>37395.0</v>
      </c>
      <c r="B51" s="24">
        <v>39.8902789759</v>
      </c>
      <c r="C51" s="24">
        <v>-104.841913704</v>
      </c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3.43"/>
    <col customWidth="1" min="2" max="2" width="107.86"/>
  </cols>
  <sheetData>
    <row r="1">
      <c r="A1" s="20" t="s">
        <v>80</v>
      </c>
      <c r="B1" s="25" t="s">
        <v>81</v>
      </c>
    </row>
    <row r="2">
      <c r="A2" s="20" t="s">
        <v>82</v>
      </c>
      <c r="B2" s="25" t="s">
        <v>83</v>
      </c>
    </row>
  </sheetData>
  <hyperlinks>
    <hyperlink r:id="rId1" location="gid=1827404966" ref="B1"/>
    <hyperlink r:id="rId2" location="gid=878383513" ref="B2"/>
  </hyperlinks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2022-06-23T19:42:37Z</dcterms:created>
  <dc:creator>Barton, Kelsey</dc:creator>
</cp:coreProperties>
</file>