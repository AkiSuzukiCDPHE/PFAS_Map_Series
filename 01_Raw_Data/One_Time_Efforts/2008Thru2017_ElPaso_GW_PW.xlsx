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2180"/>
  </bookViews>
  <sheets>
    <sheet name="GW_mostrecent_May3_GIS" sheetId="1" r:id="rId1"/>
    <sheet name="Type" sheetId="2" r:id="rId2"/>
    <sheet name="Sheet1" sheetId="3" r:id="rId3"/>
  </sheets>
  <definedNames>
    <definedName name="_xlnm._FilterDatabase" localSheetId="0" hidden="1">GW_mostrecent_May3_GIS!$A$1:$O$132</definedName>
    <definedName name="_xlnm._FilterDatabase" localSheetId="2" hidden="1">Sheet1!$A$1:$A$66</definedName>
    <definedName name="_xlnm._FilterDatabase" localSheetId="1" hidden="1">Type!$A$1:$M$132</definedName>
  </definedNames>
  <calcPr calcId="162913"/>
</workbook>
</file>

<file path=xl/calcChain.xml><?xml version="1.0" encoding="utf-8"?>
<calcChain xmlns="http://schemas.openxmlformats.org/spreadsheetml/2006/main">
  <c r="F3" i="1" l="1"/>
  <c r="F4" i="1"/>
  <c r="F5" i="1"/>
  <c r="F40" i="1"/>
  <c r="F46" i="1"/>
  <c r="F48" i="1"/>
  <c r="F49" i="1"/>
  <c r="F50" i="1"/>
  <c r="F54" i="1"/>
  <c r="F57" i="1"/>
  <c r="F58" i="1"/>
  <c r="F59" i="1"/>
  <c r="F61" i="1"/>
  <c r="F62" i="1"/>
  <c r="F63" i="1"/>
  <c r="F64" i="1"/>
  <c r="F65" i="1"/>
  <c r="F66" i="1"/>
  <c r="F67" i="1"/>
  <c r="F68" i="1"/>
  <c r="F69" i="1"/>
  <c r="F70" i="1"/>
  <c r="F71" i="1"/>
  <c r="F73" i="1"/>
  <c r="F74" i="1"/>
  <c r="F75" i="1"/>
  <c r="F76" i="1"/>
  <c r="F77" i="1"/>
  <c r="F79" i="1"/>
  <c r="F80" i="1"/>
  <c r="F81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5" i="1"/>
  <c r="F107" i="1"/>
  <c r="F108" i="1"/>
  <c r="F109" i="1"/>
  <c r="F110" i="1"/>
  <c r="F111" i="1"/>
  <c r="F112" i="1"/>
  <c r="F120" i="1"/>
  <c r="F121" i="1"/>
  <c r="F122" i="1"/>
  <c r="F125" i="1"/>
  <c r="F128" i="1"/>
  <c r="F129" i="1"/>
  <c r="F130" i="1"/>
  <c r="F131" i="1"/>
  <c r="F132" i="1"/>
  <c r="F2" i="1"/>
  <c r="G2" i="1"/>
  <c r="G13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</calcChain>
</file>

<file path=xl/sharedStrings.xml><?xml version="1.0" encoding="utf-8"?>
<sst xmlns="http://schemas.openxmlformats.org/spreadsheetml/2006/main" count="1341" uniqueCount="433">
  <si>
    <t>GIS_name</t>
  </si>
  <si>
    <t>Sample_Date</t>
  </si>
  <si>
    <t>ID</t>
  </si>
  <si>
    <t>Map_Key</t>
  </si>
  <si>
    <t>ID no PII</t>
  </si>
  <si>
    <t>Latitude</t>
  </si>
  <si>
    <t>Longitude</t>
  </si>
  <si>
    <t>PFBS</t>
  </si>
  <si>
    <t>PFHpA</t>
  </si>
  <si>
    <t>PFHxS</t>
  </si>
  <si>
    <t>PFNA</t>
  </si>
  <si>
    <t>PFOA</t>
  </si>
  <si>
    <t>PFOS</t>
  </si>
  <si>
    <t>El Paso Parks A1 WELL</t>
  </si>
  <si>
    <t>El Paso Parks A1 WELL 2016-03-02</t>
  </si>
  <si>
    <t>FSW-1</t>
  </si>
  <si>
    <t>El Paso Parks Fountain Creek Nature Ctr</t>
  </si>
  <si>
    <t>El Paso Parks Fountain Creek Nature Ctr  2016-03-02</t>
  </si>
  <si>
    <t>FSW-2</t>
  </si>
  <si>
    <t>El Paso Parks Mckinnon Well</t>
  </si>
  <si>
    <t>El Paso Parks Mckinnon Well 2016-03-02</t>
  </si>
  <si>
    <t>FSW-3</t>
  </si>
  <si>
    <t>Fountain Well No 2 South Park Well</t>
  </si>
  <si>
    <t>Fountain Well No 2 South Park Well NA</t>
  </si>
  <si>
    <t>FSW-4</t>
  </si>
  <si>
    <t>Fountain Well No 3 Shop Well</t>
  </si>
  <si>
    <t>Fountain Well No 3 Shop Well NA</t>
  </si>
  <si>
    <t>FSW-5</t>
  </si>
  <si>
    <t>Fountain Well No 4 Dale St</t>
  </si>
  <si>
    <t>Fountain Well No 4 Dale St NA</t>
  </si>
  <si>
    <t>FSW-6</t>
  </si>
  <si>
    <t>FV Shopping Center No 1 Well</t>
  </si>
  <si>
    <t>FV Shopping Center No 1 Well 2016-05-17</t>
  </si>
  <si>
    <t>FSW-7</t>
  </si>
  <si>
    <t>Garden Valley 5356</t>
  </si>
  <si>
    <t>Garden Valley 5356 2016-05-17</t>
  </si>
  <si>
    <t>FSW-8</t>
  </si>
  <si>
    <t>Garden Valley 5359</t>
  </si>
  <si>
    <t>Garden Valley 5359 2016-05-17</t>
  </si>
  <si>
    <t>FSW-9</t>
  </si>
  <si>
    <t>Garden Valley 5360</t>
  </si>
  <si>
    <t>Garden Valley 5360 2016-05-17</t>
  </si>
  <si>
    <t>FSW-10</t>
  </si>
  <si>
    <t>Garden Valley 5908</t>
  </si>
  <si>
    <t>Garden Valley 5908 2016-05-17</t>
  </si>
  <si>
    <t>FSW-11</t>
  </si>
  <si>
    <t>Garden Valley No 8 Well</t>
  </si>
  <si>
    <t>Garden Valley No 8 Well 2016-02-23</t>
  </si>
  <si>
    <t>FSW-12</t>
  </si>
  <si>
    <t>monitoring well COS Pond-MWE</t>
  </si>
  <si>
    <t>monitoring well COS Pond-MWE 2016-05-04</t>
  </si>
  <si>
    <t>FSW-13</t>
  </si>
  <si>
    <t>monitoring well HMW-63 Schlage</t>
  </si>
  <si>
    <t>monitoring well HMW-63 Schlage 2016-05-04</t>
  </si>
  <si>
    <t>FSW-14</t>
  </si>
  <si>
    <t>monitoring well MW-1 Kingz</t>
  </si>
  <si>
    <t>monitoring well MW-1 Kingz 2016-05-04</t>
  </si>
  <si>
    <t>FSW-15</t>
  </si>
  <si>
    <t>monitoring well nonpotable well GWMW</t>
  </si>
  <si>
    <t>monitoring well nonpotable well GWMW 2016-04-06</t>
  </si>
  <si>
    <t>FSW-16</t>
  </si>
  <si>
    <t>monitoring well Rocky Mountain Materials</t>
  </si>
  <si>
    <t>monitoring well Rocky Mountain Materials 2016-03-08</t>
  </si>
  <si>
    <t>FSW-17</t>
  </si>
  <si>
    <t>First United Pentacostal Church</t>
  </si>
  <si>
    <t>First United Pentacostal Church 2016-05-17</t>
  </si>
  <si>
    <t>FSW-18</t>
  </si>
  <si>
    <t>private well 1205 Fountain Mesa</t>
  </si>
  <si>
    <t>private well 1205 Fountain Mesa 2016-03-31</t>
  </si>
  <si>
    <t>FSW-19</t>
  </si>
  <si>
    <t>private well 12255 Jordan</t>
  </si>
  <si>
    <t>private well 12255 Jordan 2016-03-31</t>
  </si>
  <si>
    <t>FSW-20</t>
  </si>
  <si>
    <t>private well 12290 Jordan</t>
  </si>
  <si>
    <t>private well 12290 Jordan 2016-03-31</t>
  </si>
  <si>
    <t>FSW-21</t>
  </si>
  <si>
    <t>private well 12410 Jordan</t>
  </si>
  <si>
    <t>private well 12410 Jordan 2016-03-31</t>
  </si>
  <si>
    <t>FSW-22</t>
  </si>
  <si>
    <t>private well 12425 Old Pueblo</t>
  </si>
  <si>
    <t>private well 12425 Old Pueblo 2016-03-31</t>
  </si>
  <si>
    <t>FSW-23</t>
  </si>
  <si>
    <t>private well 12716 Old Pueblo Rd</t>
  </si>
  <si>
    <t>private well 12716 Old Pueblo Rd 2016-04-04</t>
  </si>
  <si>
    <t>FSW-24</t>
  </si>
  <si>
    <t>private well 16880 Old Pueblo</t>
  </si>
  <si>
    <t>private well 16880 Old Pueblo 2016-03-31</t>
  </si>
  <si>
    <t>FSW-25</t>
  </si>
  <si>
    <t>private well 16990 Old Pueblo Rd #1</t>
  </si>
  <si>
    <t>private well 16990 Old Pueblo Rd #1 2016-04-04</t>
  </si>
  <si>
    <t>FSW-26</t>
  </si>
  <si>
    <t>private well 16990 Old Pueblo Rd #2</t>
  </si>
  <si>
    <t>private well 16990 Old Pueblo Rd #2 2016-04-04</t>
  </si>
  <si>
    <t>FSW-27</t>
  </si>
  <si>
    <t>private well 3415 Janitell</t>
  </si>
  <si>
    <t>private well 3415 Janitell 2016-04-04</t>
  </si>
  <si>
    <t>FSW-28</t>
  </si>
  <si>
    <t>private well 4015 Bradly Rd.</t>
  </si>
  <si>
    <t>private well 4015 Bradly Rd. 2016-05-17</t>
  </si>
  <si>
    <t>FSW-29</t>
  </si>
  <si>
    <t>private well 4070 Bradly Rd.</t>
  </si>
  <si>
    <t>private well 4070 Bradly Rd. 2016-05-17</t>
  </si>
  <si>
    <t>FSW-30</t>
  </si>
  <si>
    <t>private well 8760 S. Hwy 85</t>
  </si>
  <si>
    <t>private well 8760 S. Hwy 85 2016-03-31</t>
  </si>
  <si>
    <t>FSW-31</t>
  </si>
  <si>
    <t>private well 4380 S. Hwy 85/87</t>
  </si>
  <si>
    <t>private well 4380 S. Hwy 85/87 2016-03-31</t>
  </si>
  <si>
    <t>FSW-32</t>
  </si>
  <si>
    <t>Venetucci Farm - ranch house</t>
  </si>
  <si>
    <t>Venetucci Farm - ranch house 2016-04-04</t>
  </si>
  <si>
    <t>FSW-33</t>
  </si>
  <si>
    <t>private well  952 Lake Ave.</t>
  </si>
  <si>
    <t>private well  952 Lake Ave. 2016-07-28</t>
  </si>
  <si>
    <t>FSW-34</t>
  </si>
  <si>
    <t>private well 6280 S. Hwy 85/87</t>
  </si>
  <si>
    <t>private well 6280 S. Hwy 85/87 2016-04-04</t>
  </si>
  <si>
    <t>FSW-35</t>
  </si>
  <si>
    <t>private well 809 Dale St.</t>
  </si>
  <si>
    <t>private well 809 Dale St. 2016-03-31</t>
  </si>
  <si>
    <t>FSW-36</t>
  </si>
  <si>
    <t>Venetucci Farm - main house</t>
  </si>
  <si>
    <t>Venetucci Farm - main house 2016-04-04</t>
  </si>
  <si>
    <t>FSW-37</t>
  </si>
  <si>
    <t>Security CS Well 13</t>
  </si>
  <si>
    <t>Security CS Well 13 2016-04-06</t>
  </si>
  <si>
    <t>FSW-38</t>
  </si>
  <si>
    <t>Security FV4 Well</t>
  </si>
  <si>
    <t>Security FV4 Well 2016-04-11</t>
  </si>
  <si>
    <t>FSW-39</t>
  </si>
  <si>
    <t>Security MHP Big</t>
  </si>
  <si>
    <t>Security MHP Big 2016-05-17</t>
  </si>
  <si>
    <t>FSW-40</t>
  </si>
  <si>
    <t>Security MHP Little</t>
  </si>
  <si>
    <t>Security MHP Little 2016-05-17</t>
  </si>
  <si>
    <t>FSW-41</t>
  </si>
  <si>
    <t>Security MHP NO 2 WELL</t>
  </si>
  <si>
    <t>Security MHP NO 2 WELL 2016-02-19</t>
  </si>
  <si>
    <t>FSW-42</t>
  </si>
  <si>
    <t>Security R1 Well Ream No 1</t>
  </si>
  <si>
    <t>Security R1 Well Ream No 1 2016-04-06</t>
  </si>
  <si>
    <t>FSW-43</t>
  </si>
  <si>
    <t>Security R2 Well Ream No 2</t>
  </si>
  <si>
    <t>Security R2 Well Ream No 2 2016-04-06</t>
  </si>
  <si>
    <t>FSW-44</t>
  </si>
  <si>
    <t>Security S10 Well</t>
  </si>
  <si>
    <t>Security S10 Well 2016-04-06</t>
  </si>
  <si>
    <t>FSW-45</t>
  </si>
  <si>
    <t>Security S11 Well</t>
  </si>
  <si>
    <t>Security S11 Well 2016-04-11</t>
  </si>
  <si>
    <t>FSW-46</t>
  </si>
  <si>
    <t>Security S12 Well</t>
  </si>
  <si>
    <t>Security S12 Well 2016-04-06</t>
  </si>
  <si>
    <t>FSW-47</t>
  </si>
  <si>
    <t>Security S13 Well</t>
  </si>
  <si>
    <t>Security S13 Well 2016-04-06</t>
  </si>
  <si>
    <t>FSW-48</t>
  </si>
  <si>
    <t>Security S14 Well</t>
  </si>
  <si>
    <t>Security S14 Well 2016-04-06</t>
  </si>
  <si>
    <t>FSW-49</t>
  </si>
  <si>
    <t>Security S15 Well</t>
  </si>
  <si>
    <t>Security S15 Well 2016-04-06</t>
  </si>
  <si>
    <t>FSW-50</t>
  </si>
  <si>
    <t>Security S16 Well</t>
  </si>
  <si>
    <t>Security S16 Well 2016-04-06</t>
  </si>
  <si>
    <t>FSW-51</t>
  </si>
  <si>
    <t>Security S17 Well</t>
  </si>
  <si>
    <t>Security S17 Well 2016-04-06</t>
  </si>
  <si>
    <t>FSW-52</t>
  </si>
  <si>
    <t>Security S2 Well</t>
  </si>
  <si>
    <t>Security S2 Well 2016-04-21</t>
  </si>
  <si>
    <t>FSW-53</t>
  </si>
  <si>
    <t>Security S4 Well</t>
  </si>
  <si>
    <t>Security S4 Well 2016-04-06</t>
  </si>
  <si>
    <t>FSW-54</t>
  </si>
  <si>
    <t>Security S7 Well</t>
  </si>
  <si>
    <t>Security S7 Well 2016-04-06</t>
  </si>
  <si>
    <t>FSW-55</t>
  </si>
  <si>
    <t>Security S8 Well</t>
  </si>
  <si>
    <t>Security S8 Well 2016-04-06</t>
  </si>
  <si>
    <t>FSW-56</t>
  </si>
  <si>
    <t>Security S9 Well</t>
  </si>
  <si>
    <t>Security S9 Well 2016-04-21</t>
  </si>
  <si>
    <t>FSW-57</t>
  </si>
  <si>
    <t>Security V4 Well</t>
  </si>
  <si>
    <t>Security V4 Well 2016-04-06</t>
  </si>
  <si>
    <t>FSW-58</t>
  </si>
  <si>
    <t>Security V5 Well</t>
  </si>
  <si>
    <t>Security V5 Well 2016-04-06</t>
  </si>
  <si>
    <t>FSW-59</t>
  </si>
  <si>
    <t>Security V7 Well</t>
  </si>
  <si>
    <t>Security V7 Well 2016-04-06</t>
  </si>
  <si>
    <t>FSW-60</t>
  </si>
  <si>
    <t>Security V8 Well</t>
  </si>
  <si>
    <t>Security V8 Well 2016-04-06</t>
  </si>
  <si>
    <t>FSW-61</t>
  </si>
  <si>
    <t>Security W12 Well</t>
  </si>
  <si>
    <t>Security W12 Well 2016-02-17</t>
  </si>
  <si>
    <t>FSW-62</t>
  </si>
  <si>
    <t>Security W8 Well</t>
  </si>
  <si>
    <t>Security W8 Well 2016-02-17</t>
  </si>
  <si>
    <t>FSW-63</t>
  </si>
  <si>
    <t>Security W9 Well</t>
  </si>
  <si>
    <t>Security W9 Well 2016-02-17</t>
  </si>
  <si>
    <t>FSW-64</t>
  </si>
  <si>
    <t>Stramoor Hills Well 4</t>
  </si>
  <si>
    <t>Stramoor Hills Well 4 2016-11-16</t>
  </si>
  <si>
    <t>FSW-65</t>
  </si>
  <si>
    <t>U Pull and Pay Well</t>
  </si>
  <si>
    <t>U Pull and Pay Well 2016-05-17</t>
  </si>
  <si>
    <t>FSW-66</t>
  </si>
  <si>
    <t>Widefield High School irrigation well</t>
  </si>
  <si>
    <t>Widefield High School irrigation well 2016-05-17</t>
  </si>
  <si>
    <t>FSW-67</t>
  </si>
  <si>
    <t>Widefield W1 Well</t>
  </si>
  <si>
    <t>Widefield W1 Well 2016-02-10</t>
  </si>
  <si>
    <t>FSW-68</t>
  </si>
  <si>
    <t>Widefield W3 Well</t>
  </si>
  <si>
    <t>Widefield W3 Well 2016-05-02</t>
  </si>
  <si>
    <t>FSW-69</t>
  </si>
  <si>
    <t>Widefield W7 Well</t>
  </si>
  <si>
    <t>Widefield W7 Well 2016-08-12</t>
  </si>
  <si>
    <t>FSW-70</t>
  </si>
  <si>
    <t>Widefield Well C1</t>
  </si>
  <si>
    <t>Widefield Well C1 2016-05-03</t>
  </si>
  <si>
    <t>FSW-71</t>
  </si>
  <si>
    <t>Widefield Well C3</t>
  </si>
  <si>
    <t>Widefield Well C3 2016-05-03</t>
  </si>
  <si>
    <t>FSW-72</t>
  </si>
  <si>
    <t>Widefield Well C36</t>
  </si>
  <si>
    <t>Widefield Well C36 2016-08-12</t>
  </si>
  <si>
    <t>FSW-73</t>
  </si>
  <si>
    <t>Widefield Well E2</t>
  </si>
  <si>
    <t>Widefield Well E2 2016-11-08</t>
  </si>
  <si>
    <t>FSW-74</t>
  </si>
  <si>
    <t>Widefield Well W-2</t>
  </si>
  <si>
    <t>Widefield Well W-2 2016-05-03</t>
  </si>
  <si>
    <t>FSW-75</t>
  </si>
  <si>
    <t>private well 10535 Jimmy Camp Rd</t>
  </si>
  <si>
    <t>private well 10535 Jimmy Camp Rd 2016-06-27</t>
  </si>
  <si>
    <t>FSW-76</t>
  </si>
  <si>
    <t>Fountain Faith Fellowship</t>
  </si>
  <si>
    <t>Fountain Faith Fellowship 2016-06-27</t>
  </si>
  <si>
    <t>FSW-77</t>
  </si>
  <si>
    <t>private well 12780 Gould Rd</t>
  </si>
  <si>
    <t>private well 12780 Gould Rd 2016-06-27</t>
  </si>
  <si>
    <t>FSW-78</t>
  </si>
  <si>
    <t>private well 14910 Old Pueblo Rd</t>
  </si>
  <si>
    <t>private well 14910 Old Pueblo Rd 2016-06-27</t>
  </si>
  <si>
    <t>FSW-79</t>
  </si>
  <si>
    <t>private well 3650 Bradley Rd.</t>
  </si>
  <si>
    <t>private well 3650 Bradley Rd. 2016-06-29</t>
  </si>
  <si>
    <t>FSW-80</t>
  </si>
  <si>
    <t>private well 3710 Bradley Rd</t>
  </si>
  <si>
    <t>private well 3710 Bradley Rd 2016-06-28</t>
  </si>
  <si>
    <t>FSW-81</t>
  </si>
  <si>
    <t>private well 3815 Cresta Loma PL</t>
  </si>
  <si>
    <t>private well 3815 Cresta Loma PL 2016-06-28</t>
  </si>
  <si>
    <t>FSW-82</t>
  </si>
  <si>
    <t>private well 4075 Bradley Rd.</t>
  </si>
  <si>
    <t>private well 4075 Bradley Rd. 2016-05-26</t>
  </si>
  <si>
    <t>FSW-83</t>
  </si>
  <si>
    <t>private well 4175 Bradley Rd.</t>
  </si>
  <si>
    <t>private well 4175 Bradley Rd. 2016-05-26</t>
  </si>
  <si>
    <t>FSW-84</t>
  </si>
  <si>
    <t>private well 4250 Bradley Rd.</t>
  </si>
  <si>
    <t>private well 4250 Bradley Rd. 2016-05-26</t>
  </si>
  <si>
    <t>FSW-85</t>
  </si>
  <si>
    <t>private well 6580 S. US HWY 85-87</t>
  </si>
  <si>
    <t>private well 6580 S. US HWY 85-87 2016-06-27</t>
  </si>
  <si>
    <t>FSW-86</t>
  </si>
  <si>
    <t>private well 8170 Valli Farm Rd</t>
  </si>
  <si>
    <t>private well 8170 Valli Farm Rd 2016-06-27</t>
  </si>
  <si>
    <t>FSW-87</t>
  </si>
  <si>
    <t>CO. Centre Metro district</t>
  </si>
  <si>
    <t>CO. Centre Metro district 2016-06-27</t>
  </si>
  <si>
    <t>FSW-88</t>
  </si>
  <si>
    <t>Fountain Valley School</t>
  </si>
  <si>
    <t>Fountain Valley School 2016-05-26</t>
  </si>
  <si>
    <t>FSW-89</t>
  </si>
  <si>
    <t>Widefield Jhw5R Well</t>
  </si>
  <si>
    <t>Widefield Jhw5R Well 2014-05-19</t>
  </si>
  <si>
    <t>FSW-90</t>
  </si>
  <si>
    <t>Norad MHP 5775 Southmoor</t>
  </si>
  <si>
    <t>Norad MHP 5775 Southmoor 2016-03-31</t>
  </si>
  <si>
    <t>FSW-91</t>
  </si>
  <si>
    <t>Widefield W4 Well</t>
  </si>
  <si>
    <t>Widefield W4 Well 2014-05-19</t>
  </si>
  <si>
    <t>FSW-92</t>
  </si>
  <si>
    <t>Fountain Well No 1 North Park Well</t>
  </si>
  <si>
    <t>Fountain Well No 1 North Park Well 2013-07-17</t>
  </si>
  <si>
    <t>FSW-93</t>
  </si>
  <si>
    <t>Venetucci Farm - farm house</t>
  </si>
  <si>
    <t>Venetucci Farm - farm house 2016-06-28</t>
  </si>
  <si>
    <t>FSW-94</t>
  </si>
  <si>
    <t>private well  8085 S. Marksheffel Rd.</t>
  </si>
  <si>
    <t>private well  8085 S. Marksheffel Rd. 2016-07-29</t>
  </si>
  <si>
    <t>FSW-95</t>
  </si>
  <si>
    <t>private well  8225 S. Marksheffel Rd.</t>
  </si>
  <si>
    <t>private well  8225 S. Marksheffel Rd. 2016-07-29</t>
  </si>
  <si>
    <t>FSW-96</t>
  </si>
  <si>
    <t>private well  6885 Southmoor Dr.</t>
  </si>
  <si>
    <t>private well  6885 Southmoor Dr. 2016-07-29</t>
  </si>
  <si>
    <t>FSW-97</t>
  </si>
  <si>
    <t>private well  8101 Valli Farm Rd.</t>
  </si>
  <si>
    <t>private well  8101 Valli Farm Rd. 2016-07-29</t>
  </si>
  <si>
    <t>FSW-98</t>
  </si>
  <si>
    <t>private well  300 Georgia Lee Lane</t>
  </si>
  <si>
    <t>private well  300 Georgia Lee Lane 2016-07-29</t>
  </si>
  <si>
    <t>FSW-99</t>
  </si>
  <si>
    <t>private well  4050 S. Hwy 85-87</t>
  </si>
  <si>
    <t>private well  4050 S. Hwy 85-87 2016-07-28</t>
  </si>
  <si>
    <t>FSW-100</t>
  </si>
  <si>
    <t>private well  9110 Link Rd.</t>
  </si>
  <si>
    <t>private well  9110 Link Rd. 2016-07-28</t>
  </si>
  <si>
    <t>FSW-101</t>
  </si>
  <si>
    <t>private well  7865 Wilson</t>
  </si>
  <si>
    <t>private well  7865 Wilson 2016-07-28</t>
  </si>
  <si>
    <t>FSW-102</t>
  </si>
  <si>
    <t>private well  12790 Gould Rd.</t>
  </si>
  <si>
    <t>private well  12790 Gould Rd. 2016-07-28</t>
  </si>
  <si>
    <t>FSW-103</t>
  </si>
  <si>
    <t>private well  12828 Gould Rd.</t>
  </si>
  <si>
    <t>private well  12828 Gould Rd. 2016-07-28</t>
  </si>
  <si>
    <t>FSW-104</t>
  </si>
  <si>
    <t>private well  13610 Old Pueblo</t>
  </si>
  <si>
    <t>private well  13610 Old Pueblo 2016-07-28</t>
  </si>
  <si>
    <t>FSW-105</t>
  </si>
  <si>
    <t>private well  12230 Jordan Rd</t>
  </si>
  <si>
    <t>private well  12230 Jordan Rd 2016-07-28</t>
  </si>
  <si>
    <t>FSW-106</t>
  </si>
  <si>
    <t>private well  13825 Old Pueblo Rd.</t>
  </si>
  <si>
    <t>private well  13825 Old Pueblo Rd. 2016-09-02</t>
  </si>
  <si>
    <t>FSW-107</t>
  </si>
  <si>
    <t>private well  12620 Old Pueblo Rd.</t>
  </si>
  <si>
    <t>private well  12620 Old Pueblo Rd. 2016-09-06</t>
  </si>
  <si>
    <t>FSW-108</t>
  </si>
  <si>
    <t>private well  12445 Jordan Rd.</t>
  </si>
  <si>
    <t>private well  12445 Jordan Rd. 2016-09-06</t>
  </si>
  <si>
    <t>FSW-109</t>
  </si>
  <si>
    <t>private well  13421 Moonshadow Rd.</t>
  </si>
  <si>
    <t>private well  13421 Moonshadow Rd. 2016-09-06</t>
  </si>
  <si>
    <t>FSW-110</t>
  </si>
  <si>
    <t>private well  8920 1/2 Rusique</t>
  </si>
  <si>
    <t>private well  8920 1/2 Rusique 2016-09-06</t>
  </si>
  <si>
    <t>FSW-111</t>
  </si>
  <si>
    <t>private well  14790 Old Pueblo Rd.</t>
  </si>
  <si>
    <t>private well  14790 Old Pueblo Rd. 2016-09-06</t>
  </si>
  <si>
    <t>FSW-112</t>
  </si>
  <si>
    <t>private well  8190 Birdsall Rd.</t>
  </si>
  <si>
    <t>private well  8190 Birdsall Rd. 2016-09-06</t>
  </si>
  <si>
    <t>FSW-113</t>
  </si>
  <si>
    <t>private well  8790 Birdsall Rd.</t>
  </si>
  <si>
    <t>private well  8790 Birdsall Rd. 2016-09-06</t>
  </si>
  <si>
    <t>FSW-114</t>
  </si>
  <si>
    <t>Stramoor Hills Well 10</t>
  </si>
  <si>
    <t>Stramoor Hills Well 10 2016-11-16</t>
  </si>
  <si>
    <t>FSW-115</t>
  </si>
  <si>
    <t>Stramoor Hills Well 5</t>
  </si>
  <si>
    <t>Stramoor Hills Well 5 2017-02-22</t>
  </si>
  <si>
    <t>FSW-116</t>
  </si>
  <si>
    <t>private well  13170 Old Pueblo Rd</t>
  </si>
  <si>
    <t>private well  13170 Old Pueblo Rd 2016-11-21</t>
  </si>
  <si>
    <t>FSW-117</t>
  </si>
  <si>
    <t>private well  12460 Old Pueblo Rd</t>
  </si>
  <si>
    <t>private well  12460 Old Pueblo Rd 2016-11-21</t>
  </si>
  <si>
    <t>FSW-118</t>
  </si>
  <si>
    <t>private well  8570 Link Rd</t>
  </si>
  <si>
    <t>private well  8570 Link Rd 2016-11-21</t>
  </si>
  <si>
    <t>FSW-119</t>
  </si>
  <si>
    <t>private well  8255 C+S Rd</t>
  </si>
  <si>
    <t>private well  8255 C+S Rd 2016-11-21</t>
  </si>
  <si>
    <t>FSW-120</t>
  </si>
  <si>
    <t>private well  11665 Orleans Rd</t>
  </si>
  <si>
    <t>private well  11665 Orleans Rd 2016-11-21</t>
  </si>
  <si>
    <t>FSW-121</t>
  </si>
  <si>
    <t>private well  9035 Bonnie Cap</t>
  </si>
  <si>
    <t>private well  9035 Bonnie Cap 2016-11-21</t>
  </si>
  <si>
    <t>FSW-122</t>
  </si>
  <si>
    <t>private well  808 Pond Terrace</t>
  </si>
  <si>
    <t>private well  808 Pond Terrace 2016-11-21</t>
  </si>
  <si>
    <t>FSW-123</t>
  </si>
  <si>
    <t>private well  900 Pond Terrace</t>
  </si>
  <si>
    <t>private well  900 Pond Terrace 2016-11-21</t>
  </si>
  <si>
    <t>FSW-124</t>
  </si>
  <si>
    <t>private well  13030 Old Pueblo Rd</t>
  </si>
  <si>
    <t>private well  13030 Old Pueblo Rd 2016-11-21</t>
  </si>
  <si>
    <t>FSW-125</t>
  </si>
  <si>
    <t>monitoring well Airplane Crash #1</t>
  </si>
  <si>
    <t>monitoring well Airplane Crash #1 2017-02-16</t>
  </si>
  <si>
    <t>FSW-126</t>
  </si>
  <si>
    <t>monitoring well Mars Gas #2</t>
  </si>
  <si>
    <t>monitoring well Mars Gas #2 2017-02-15</t>
  </si>
  <si>
    <t>FSW-127</t>
  </si>
  <si>
    <t>monitoring well Recycle Center #3</t>
  </si>
  <si>
    <t>monitoring well Recycle Center #3 2017-02-15</t>
  </si>
  <si>
    <t>FSW-128</t>
  </si>
  <si>
    <t>monitoring well TH22 #4</t>
  </si>
  <si>
    <t>monitoring well TH22 #4 2017-02-15</t>
  </si>
  <si>
    <t>FSW-129</t>
  </si>
  <si>
    <t>Widefield Well JHW2</t>
  </si>
  <si>
    <t>Widefield Well JHW2 2016-06-15</t>
  </si>
  <si>
    <t>FSW-130</t>
  </si>
  <si>
    <t>Wigwam Well CR #1</t>
  </si>
  <si>
    <t>Wigwam Well CR #1 2008-05-27</t>
  </si>
  <si>
    <t>FSW-131</t>
  </si>
  <si>
    <t>Date</t>
  </si>
  <si>
    <t>Sample_ID</t>
  </si>
  <si>
    <t>Name_OR_Site</t>
  </si>
  <si>
    <t>Sample_ID2</t>
  </si>
  <si>
    <t>Data_Source</t>
  </si>
  <si>
    <t>El Paso GW</t>
  </si>
  <si>
    <t>Confidential</t>
  </si>
  <si>
    <t>Yes</t>
  </si>
  <si>
    <t>Type</t>
  </si>
  <si>
    <t>Private Well</t>
  </si>
  <si>
    <t>PWS and Other</t>
  </si>
  <si>
    <t>PWS_ID</t>
  </si>
  <si>
    <t>CO0221436</t>
  </si>
  <si>
    <t>CO0221435</t>
  </si>
  <si>
    <t>CO0121300</t>
  </si>
  <si>
    <t>CO0121325</t>
  </si>
  <si>
    <t>CO0221276</t>
  </si>
  <si>
    <t>CO0221806</t>
  </si>
  <si>
    <t>CO0121775</t>
  </si>
  <si>
    <t>CO0121750</t>
  </si>
  <si>
    <t>CO0121900</t>
  </si>
  <si>
    <t>CO0221766</t>
  </si>
  <si>
    <t>CO0121470</t>
  </si>
  <si>
    <t>CO0121500</t>
  </si>
  <si>
    <t>CO0121140</t>
  </si>
  <si>
    <t>CO0221440</t>
  </si>
  <si>
    <t>CO0121800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</si>
</sst>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Trebuchet MS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14" fontId="0" fillId="0" borderId="0" xfId="0" applyNumberFormat="1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32"/>
  <sheetViews>
    <sheetView tabSelected="1" topLeftCell="A64" workbookViewId="0">
      <selection activeCell="G20" sqref="G20"/>
    </sheetView>
  </sheetViews>
  <sheetFormatPr defaultColWidth="12.5703125" defaultRowHeight="15.75" customHeight="1" x14ac:dyDescent="0.2"/>
  <cols>
    <col min="1" max="1" width="46.5703125" customWidth="1"/>
    <col min="2" max="2" width="16.28515625" style="9" customWidth="1"/>
    <col min="3" max="3" width="38.5703125" customWidth="1"/>
    <col min="5" max="6" width="17" customWidth="1"/>
    <col min="7" max="7" width="38.140625" customWidth="1"/>
    <col min="10" max="15" width="12.5703125" style="11"/>
  </cols>
  <sheetData>
    <row r="1" spans="1:15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2" t="s">
        <v>417</v>
      </c>
      <c r="G1" s="10" t="s">
        <v>414</v>
      </c>
      <c r="H1" s="1" t="s">
        <v>5</v>
      </c>
      <c r="I1" s="1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</row>
    <row r="2" spans="1:15" ht="15.75" customHeight="1" x14ac:dyDescent="0.2">
      <c r="A2" s="1" t="s">
        <v>403</v>
      </c>
      <c r="B2" s="2">
        <v>39595</v>
      </c>
      <c r="C2" s="1" t="s">
        <v>404</v>
      </c>
      <c r="D2" s="1">
        <v>131</v>
      </c>
      <c r="E2" s="1" t="s">
        <v>405</v>
      </c>
      <c r="F2" t="str">
        <f>VLOOKUP(A2,Type!$A$1:$C$132,3,0)</f>
        <v>CO0121470</v>
      </c>
      <c r="G2" t="str">
        <f>VLOOKUP(A2,Type!$A$1:$B$132,2,0)</f>
        <v>PWS and Other</v>
      </c>
      <c r="H2" s="1">
        <v>38.541916999999998</v>
      </c>
      <c r="I2" s="1">
        <v>-104.64063299999999</v>
      </c>
      <c r="J2" s="10">
        <v>27</v>
      </c>
      <c r="K2" s="10">
        <v>7.5</v>
      </c>
      <c r="L2" s="10">
        <v>50</v>
      </c>
      <c r="M2" s="10">
        <v>0</v>
      </c>
      <c r="N2" s="10">
        <v>25</v>
      </c>
      <c r="O2" s="10">
        <v>18</v>
      </c>
    </row>
    <row r="3" spans="1:15" ht="15.75" customHeight="1" x14ac:dyDescent="0.2">
      <c r="A3" s="1" t="s">
        <v>274</v>
      </c>
      <c r="B3" s="2">
        <v>42548</v>
      </c>
      <c r="C3" s="1" t="s">
        <v>275</v>
      </c>
      <c r="D3" s="1">
        <v>88</v>
      </c>
      <c r="E3" s="1" t="s">
        <v>276</v>
      </c>
      <c r="F3" t="str">
        <f>VLOOKUP(A3,Type!$A$1:$C$132,3,0)</f>
        <v>CO0121140</v>
      </c>
      <c r="G3" t="str">
        <f>VLOOKUP(A3,Type!$A$1:$B$132,2,0)</f>
        <v>PWS and Other</v>
      </c>
      <c r="H3" s="1">
        <v>38.768416999999999</v>
      </c>
      <c r="I3" s="1">
        <v>-104.649287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ht="15.75" customHeight="1" x14ac:dyDescent="0.2">
      <c r="A4" s="1" t="s">
        <v>280</v>
      </c>
      <c r="B4" s="2">
        <v>41778</v>
      </c>
      <c r="C4" s="1" t="s">
        <v>281</v>
      </c>
      <c r="D4" s="1">
        <v>90</v>
      </c>
      <c r="E4" s="1" t="s">
        <v>282</v>
      </c>
      <c r="F4" t="str">
        <f>VLOOKUP(A4,Type!$A$1:$C$132,3,0)</f>
        <v>CO0121900</v>
      </c>
      <c r="G4" t="str">
        <f>VLOOKUP(A4,Type!$A$1:$B$132,2,0)</f>
        <v>PWS and Other</v>
      </c>
      <c r="H4" s="1">
        <v>38.730277999999998</v>
      </c>
      <c r="I4" s="1">
        <v>-104.651111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ht="15.75" customHeight="1" x14ac:dyDescent="0.2">
      <c r="A5" s="1" t="s">
        <v>400</v>
      </c>
      <c r="B5" s="2">
        <v>42536</v>
      </c>
      <c r="C5" s="1" t="s">
        <v>401</v>
      </c>
      <c r="D5" s="1">
        <v>130</v>
      </c>
      <c r="E5" s="1" t="s">
        <v>402</v>
      </c>
      <c r="F5" t="str">
        <f>VLOOKUP(A5,Type!$A$1:$C$132,3,0)</f>
        <v>CO0121900</v>
      </c>
      <c r="G5" t="str">
        <f>VLOOKUP(A5,Type!$A$1:$B$132,2,0)</f>
        <v>PWS and Other</v>
      </c>
      <c r="H5" s="1">
        <v>38.729799999999997</v>
      </c>
      <c r="I5" s="1">
        <v>-104.653569</v>
      </c>
      <c r="J5" s="10"/>
      <c r="K5" s="10"/>
      <c r="L5" s="10"/>
      <c r="M5" s="10"/>
      <c r="N5" s="10">
        <v>4.7</v>
      </c>
      <c r="O5" s="10">
        <v>2.9</v>
      </c>
    </row>
    <row r="6" spans="1:15" ht="15.75" customHeight="1" x14ac:dyDescent="0.2">
      <c r="A6" s="1" t="s">
        <v>376</v>
      </c>
      <c r="B6" s="2">
        <v>42695</v>
      </c>
      <c r="C6" s="1" t="s">
        <v>377</v>
      </c>
      <c r="D6" s="1">
        <v>122</v>
      </c>
      <c r="E6" s="1" t="s">
        <v>378</v>
      </c>
      <c r="G6" t="str">
        <f>VLOOKUP(A6,Type!$A$1:$B$132,2,0)</f>
        <v>Private Well</v>
      </c>
      <c r="H6" s="1">
        <v>38.710277779999998</v>
      </c>
      <c r="I6" s="1">
        <v>-104.6605556</v>
      </c>
      <c r="J6" s="10">
        <v>0</v>
      </c>
      <c r="K6" s="10">
        <v>0</v>
      </c>
      <c r="L6" s="10">
        <v>40</v>
      </c>
      <c r="M6" s="10">
        <v>0</v>
      </c>
      <c r="N6" s="10">
        <v>29</v>
      </c>
      <c r="O6" s="10">
        <v>10</v>
      </c>
    </row>
    <row r="7" spans="1:15" ht="15.75" customHeight="1" x14ac:dyDescent="0.2">
      <c r="A7" s="1" t="s">
        <v>295</v>
      </c>
      <c r="B7" s="2">
        <v>42580</v>
      </c>
      <c r="C7" s="1" t="s">
        <v>296</v>
      </c>
      <c r="D7" s="1">
        <v>95</v>
      </c>
      <c r="E7" s="1" t="s">
        <v>297</v>
      </c>
      <c r="G7" t="str">
        <f>VLOOKUP(A7,Type!$A$1:$B$132,2,0)</f>
        <v>Private Well</v>
      </c>
      <c r="H7" s="1">
        <v>38.714635000000001</v>
      </c>
      <c r="I7" s="1">
        <v>-104.661051</v>
      </c>
      <c r="J7" s="10">
        <v>0</v>
      </c>
      <c r="K7" s="10">
        <v>1.8</v>
      </c>
      <c r="L7" s="10">
        <v>30</v>
      </c>
      <c r="M7" s="10">
        <v>0</v>
      </c>
      <c r="N7" s="10">
        <v>0</v>
      </c>
      <c r="O7" s="10">
        <v>0</v>
      </c>
    </row>
    <row r="8" spans="1:15" ht="15.75" customHeight="1" x14ac:dyDescent="0.2">
      <c r="A8" s="1" t="s">
        <v>88</v>
      </c>
      <c r="B8" s="2">
        <v>42464</v>
      </c>
      <c r="C8" s="1" t="s">
        <v>89</v>
      </c>
      <c r="D8" s="1">
        <v>26</v>
      </c>
      <c r="E8" s="1" t="s">
        <v>90</v>
      </c>
      <c r="G8" t="str">
        <f>VLOOKUP(A8,Type!$A$1:$B$132,2,0)</f>
        <v>Private Well</v>
      </c>
      <c r="H8" s="1">
        <v>38.588448</v>
      </c>
      <c r="I8" s="1">
        <v>-104.663158</v>
      </c>
      <c r="J8" s="10">
        <v>0</v>
      </c>
      <c r="K8" s="10">
        <v>13</v>
      </c>
      <c r="L8" s="10">
        <v>93</v>
      </c>
      <c r="M8" s="10">
        <v>0</v>
      </c>
      <c r="N8" s="10">
        <v>35</v>
      </c>
      <c r="O8" s="10">
        <v>55</v>
      </c>
    </row>
    <row r="9" spans="1:15" ht="15.75" customHeight="1" x14ac:dyDescent="0.2">
      <c r="A9" s="1" t="s">
        <v>298</v>
      </c>
      <c r="B9" s="2">
        <v>42580</v>
      </c>
      <c r="C9" s="1" t="s">
        <v>299</v>
      </c>
      <c r="D9" s="1">
        <v>96</v>
      </c>
      <c r="E9" s="1" t="s">
        <v>300</v>
      </c>
      <c r="G9" t="str">
        <f>VLOOKUP(A9,Type!$A$1:$B$132,2,0)</f>
        <v>Private Well</v>
      </c>
      <c r="H9" s="1">
        <v>38.712831999999999</v>
      </c>
      <c r="I9" s="1">
        <v>-104.663205</v>
      </c>
      <c r="J9" s="10">
        <v>0</v>
      </c>
      <c r="K9" s="10">
        <v>2.4</v>
      </c>
      <c r="L9" s="10">
        <v>36</v>
      </c>
      <c r="M9" s="10">
        <v>0</v>
      </c>
      <c r="N9" s="10">
        <v>0</v>
      </c>
      <c r="O9" s="10">
        <v>0</v>
      </c>
    </row>
    <row r="10" spans="1:15" ht="15.75" customHeight="1" x14ac:dyDescent="0.2">
      <c r="A10" s="1" t="s">
        <v>91</v>
      </c>
      <c r="B10" s="2">
        <v>42464</v>
      </c>
      <c r="C10" s="1" t="s">
        <v>92</v>
      </c>
      <c r="D10" s="1">
        <v>27</v>
      </c>
      <c r="E10" s="1" t="s">
        <v>93</v>
      </c>
      <c r="G10" t="str">
        <f>VLOOKUP(A10,Type!$A$1:$B$132,2,0)</f>
        <v>Private Well</v>
      </c>
      <c r="H10" s="1">
        <v>38.589010999999999</v>
      </c>
      <c r="I10" s="1">
        <v>-104.66578199999999</v>
      </c>
      <c r="J10" s="10">
        <v>0</v>
      </c>
      <c r="K10" s="10">
        <v>14</v>
      </c>
      <c r="L10" s="10">
        <v>97</v>
      </c>
      <c r="M10" s="10">
        <v>0</v>
      </c>
      <c r="N10" s="10">
        <v>40</v>
      </c>
      <c r="O10" s="10">
        <v>46</v>
      </c>
    </row>
    <row r="11" spans="1:15" ht="15.75" customHeight="1" x14ac:dyDescent="0.2">
      <c r="A11" s="1" t="s">
        <v>352</v>
      </c>
      <c r="B11" s="2">
        <v>42619</v>
      </c>
      <c r="C11" s="1" t="s">
        <v>353</v>
      </c>
      <c r="D11" s="1">
        <v>114</v>
      </c>
      <c r="E11" s="1" t="s">
        <v>354</v>
      </c>
      <c r="G11" t="str">
        <f>VLOOKUP(A11,Type!$A$1:$B$132,2,0)</f>
        <v>Private Well</v>
      </c>
      <c r="H11" s="1">
        <v>38.626111000000002</v>
      </c>
      <c r="I11" s="1">
        <v>-104.666388</v>
      </c>
      <c r="J11" s="10">
        <v>26</v>
      </c>
      <c r="K11" s="10">
        <v>6.4</v>
      </c>
      <c r="L11" s="10">
        <v>36</v>
      </c>
      <c r="M11" s="10">
        <v>0</v>
      </c>
      <c r="N11" s="10">
        <v>14</v>
      </c>
      <c r="O11" s="10">
        <v>0</v>
      </c>
    </row>
    <row r="12" spans="1:15" ht="15.75" customHeight="1" x14ac:dyDescent="0.2">
      <c r="A12" s="1" t="s">
        <v>340</v>
      </c>
      <c r="B12" s="2">
        <v>42619</v>
      </c>
      <c r="C12" s="1" t="s">
        <v>341</v>
      </c>
      <c r="D12" s="1">
        <v>110</v>
      </c>
      <c r="E12" s="1" t="s">
        <v>342</v>
      </c>
      <c r="G12" t="str">
        <f>VLOOKUP(A12,Type!$A$1:$B$132,2,0)</f>
        <v>Private Well</v>
      </c>
      <c r="H12" s="1">
        <v>38.630555000000001</v>
      </c>
      <c r="I12" s="1">
        <v>-104.668055</v>
      </c>
      <c r="J12" s="10">
        <v>19</v>
      </c>
      <c r="K12" s="10">
        <v>6.4</v>
      </c>
      <c r="L12" s="10">
        <v>26</v>
      </c>
      <c r="M12" s="10">
        <v>0</v>
      </c>
      <c r="N12" s="10">
        <v>12</v>
      </c>
      <c r="O12" s="10">
        <v>0</v>
      </c>
    </row>
    <row r="13" spans="1:15" ht="15.75" customHeight="1" x14ac:dyDescent="0.2">
      <c r="A13" s="1" t="s">
        <v>85</v>
      </c>
      <c r="B13" s="2">
        <v>42460</v>
      </c>
      <c r="C13" s="1" t="s">
        <v>86</v>
      </c>
      <c r="D13" s="1">
        <v>25</v>
      </c>
      <c r="E13" s="1" t="s">
        <v>87</v>
      </c>
      <c r="G13" t="str">
        <f>VLOOKUP(A13,Type!$A$1:$B$132,2,0)</f>
        <v>Private Well</v>
      </c>
      <c r="H13" s="1">
        <v>38.596899999999998</v>
      </c>
      <c r="I13" s="1">
        <v>-104.66930000000001</v>
      </c>
      <c r="J13" s="10">
        <v>0</v>
      </c>
      <c r="K13" s="10">
        <v>13</v>
      </c>
      <c r="L13" s="10">
        <v>82</v>
      </c>
      <c r="M13" s="10">
        <v>0</v>
      </c>
      <c r="N13" s="10">
        <v>36</v>
      </c>
      <c r="O13" s="10">
        <v>66</v>
      </c>
    </row>
    <row r="14" spans="1:15" ht="15.75" customHeight="1" x14ac:dyDescent="0.2">
      <c r="A14" s="1" t="s">
        <v>247</v>
      </c>
      <c r="B14" s="2">
        <v>42548</v>
      </c>
      <c r="C14" s="1" t="s">
        <v>248</v>
      </c>
      <c r="D14" s="1">
        <v>79</v>
      </c>
      <c r="E14" s="1" t="s">
        <v>249</v>
      </c>
      <c r="G14" t="str">
        <f>VLOOKUP(A14,Type!$A$1:$B$132,2,0)</f>
        <v>Private Well</v>
      </c>
      <c r="H14" s="1">
        <v>38.615811000000001</v>
      </c>
      <c r="I14" s="1">
        <v>-104.673483</v>
      </c>
      <c r="J14" s="10">
        <v>0</v>
      </c>
      <c r="K14" s="10">
        <v>8.6999999999999993</v>
      </c>
      <c r="L14" s="10">
        <v>25</v>
      </c>
      <c r="M14" s="10">
        <v>0</v>
      </c>
      <c r="N14" s="10">
        <v>16</v>
      </c>
      <c r="O14" s="10">
        <v>31</v>
      </c>
    </row>
    <row r="15" spans="1:15" ht="15.75" customHeight="1" x14ac:dyDescent="0.2">
      <c r="A15" s="1" t="s">
        <v>313</v>
      </c>
      <c r="B15" s="2">
        <v>42579</v>
      </c>
      <c r="C15" s="1" t="s">
        <v>314</v>
      </c>
      <c r="D15" s="1">
        <v>101</v>
      </c>
      <c r="E15" s="1" t="s">
        <v>315</v>
      </c>
      <c r="G15" t="str">
        <f>VLOOKUP(A15,Type!$A$1:$B$132,2,0)</f>
        <v>Private Well</v>
      </c>
      <c r="H15" s="1">
        <v>38.700009000000001</v>
      </c>
      <c r="I15" s="1">
        <v>-104.673793</v>
      </c>
      <c r="J15" s="10">
        <v>0</v>
      </c>
      <c r="K15" s="10">
        <v>0</v>
      </c>
      <c r="L15" s="10">
        <v>33</v>
      </c>
      <c r="M15" s="10">
        <v>0</v>
      </c>
      <c r="N15" s="10">
        <v>0</v>
      </c>
      <c r="O15" s="10">
        <v>0</v>
      </c>
    </row>
    <row r="16" spans="1:15" ht="15.75" customHeight="1" x14ac:dyDescent="0.2">
      <c r="A16" s="1" t="s">
        <v>367</v>
      </c>
      <c r="B16" s="2">
        <v>42695</v>
      </c>
      <c r="C16" s="1" t="s">
        <v>368</v>
      </c>
      <c r="D16" s="1">
        <v>119</v>
      </c>
      <c r="E16" s="1" t="s">
        <v>369</v>
      </c>
      <c r="G16" t="str">
        <f>VLOOKUP(A16,Type!$A$1:$B$132,2,0)</f>
        <v>Private Well</v>
      </c>
      <c r="H16" s="1">
        <v>38.707222219999998</v>
      </c>
      <c r="I16" s="1">
        <v>-104.6741667</v>
      </c>
      <c r="J16" s="10">
        <v>21</v>
      </c>
      <c r="K16" s="10">
        <v>3.7</v>
      </c>
      <c r="L16" s="10">
        <v>56</v>
      </c>
      <c r="M16" s="10">
        <v>0</v>
      </c>
      <c r="N16" s="10">
        <v>3.7</v>
      </c>
      <c r="O16" s="10">
        <v>0</v>
      </c>
    </row>
    <row r="17" spans="1:15" ht="15.75" customHeight="1" x14ac:dyDescent="0.2">
      <c r="A17" s="1" t="s">
        <v>346</v>
      </c>
      <c r="B17" s="2">
        <v>42619</v>
      </c>
      <c r="C17" s="1" t="s">
        <v>347</v>
      </c>
      <c r="D17" s="1">
        <v>112</v>
      </c>
      <c r="E17" s="1" t="s">
        <v>348</v>
      </c>
      <c r="G17" t="str">
        <f>VLOOKUP(A17,Type!$A$1:$B$132,2,0)</f>
        <v>Private Well</v>
      </c>
      <c r="H17" s="1">
        <v>38.618333</v>
      </c>
      <c r="I17" s="1">
        <v>-104.67444399999999</v>
      </c>
      <c r="J17" s="10">
        <v>26</v>
      </c>
      <c r="K17" s="10">
        <v>4.4000000000000004</v>
      </c>
      <c r="L17" s="10">
        <v>24</v>
      </c>
      <c r="M17" s="10">
        <v>0</v>
      </c>
      <c r="N17" s="10">
        <v>8</v>
      </c>
      <c r="O17" s="10">
        <v>0</v>
      </c>
    </row>
    <row r="18" spans="1:15" ht="15.75" customHeight="1" x14ac:dyDescent="0.2">
      <c r="A18" s="1" t="s">
        <v>271</v>
      </c>
      <c r="B18" s="2">
        <v>42548</v>
      </c>
      <c r="C18" s="1" t="s">
        <v>272</v>
      </c>
      <c r="D18" s="1">
        <v>87</v>
      </c>
      <c r="E18" s="1" t="s">
        <v>273</v>
      </c>
      <c r="G18" t="str">
        <f>VLOOKUP(A18,Type!$A$1:$B$132,2,0)</f>
        <v>Private Well</v>
      </c>
      <c r="H18" s="1">
        <v>38.704597</v>
      </c>
      <c r="I18" s="1">
        <v>-104.67483300000001</v>
      </c>
      <c r="J18" s="10">
        <v>17</v>
      </c>
      <c r="K18" s="10">
        <v>5.2</v>
      </c>
      <c r="L18" s="10">
        <v>37</v>
      </c>
      <c r="M18" s="10">
        <v>0</v>
      </c>
      <c r="N18" s="10">
        <v>0</v>
      </c>
      <c r="O18" s="10">
        <v>0</v>
      </c>
    </row>
    <row r="19" spans="1:15" ht="15.75" customHeight="1" x14ac:dyDescent="0.2">
      <c r="A19" s="1" t="s">
        <v>370</v>
      </c>
      <c r="B19" s="2">
        <v>42695</v>
      </c>
      <c r="C19" s="1" t="s">
        <v>371</v>
      </c>
      <c r="D19" s="1">
        <v>120</v>
      </c>
      <c r="E19" s="1" t="s">
        <v>372</v>
      </c>
      <c r="G19" t="str">
        <f>VLOOKUP(A19,Type!$A$1:$B$132,2,0)</f>
        <v>Private Well</v>
      </c>
      <c r="H19" s="1">
        <v>38.707222219999998</v>
      </c>
      <c r="I19" s="1">
        <v>-104.675</v>
      </c>
      <c r="J19" s="10">
        <v>16</v>
      </c>
      <c r="K19" s="10">
        <v>2.7</v>
      </c>
      <c r="L19" s="10">
        <v>56</v>
      </c>
      <c r="M19" s="10">
        <v>0</v>
      </c>
      <c r="N19" s="10">
        <v>3.7</v>
      </c>
      <c r="O19" s="10">
        <v>0</v>
      </c>
    </row>
    <row r="20" spans="1:15" ht="15.75" customHeight="1" x14ac:dyDescent="0.2">
      <c r="A20" s="1" t="s">
        <v>349</v>
      </c>
      <c r="B20" s="2">
        <v>42619</v>
      </c>
      <c r="C20" s="1" t="s">
        <v>350</v>
      </c>
      <c r="D20" s="1">
        <v>113</v>
      </c>
      <c r="E20" s="1" t="s">
        <v>351</v>
      </c>
      <c r="G20" t="str">
        <f>VLOOKUP(A20,Type!$A$1:$B$132,2,0)</f>
        <v>Private Well</v>
      </c>
      <c r="H20" s="1">
        <v>38.626387999999999</v>
      </c>
      <c r="I20" s="1">
        <v>-104.67611100000001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ht="15.75" customHeight="1" x14ac:dyDescent="0.2">
      <c r="A21" s="1" t="s">
        <v>304</v>
      </c>
      <c r="B21" s="2">
        <v>42580</v>
      </c>
      <c r="C21" s="1" t="s">
        <v>305</v>
      </c>
      <c r="D21" s="1">
        <v>98</v>
      </c>
      <c r="E21" s="1" t="s">
        <v>306</v>
      </c>
      <c r="G21" t="str">
        <f>VLOOKUP(A21,Type!$A$1:$B$132,2,0)</f>
        <v>Private Well</v>
      </c>
      <c r="H21" s="1">
        <v>38.703716999999997</v>
      </c>
      <c r="I21" s="1">
        <v>-104.677331</v>
      </c>
      <c r="J21" s="10">
        <v>23</v>
      </c>
      <c r="K21" s="10">
        <v>5.6</v>
      </c>
      <c r="L21" s="10">
        <v>48</v>
      </c>
      <c r="M21" s="10">
        <v>0</v>
      </c>
      <c r="N21" s="10">
        <v>0</v>
      </c>
      <c r="O21" s="10">
        <v>0</v>
      </c>
    </row>
    <row r="22" spans="1:15" ht="15.75" customHeight="1" x14ac:dyDescent="0.2">
      <c r="A22" s="1" t="s">
        <v>331</v>
      </c>
      <c r="B22" s="2">
        <v>42615</v>
      </c>
      <c r="C22" s="1" t="s">
        <v>332</v>
      </c>
      <c r="D22" s="1">
        <v>107</v>
      </c>
      <c r="E22" s="1" t="s">
        <v>333</v>
      </c>
      <c r="G22" t="str">
        <f>VLOOKUP(A22,Type!$A$1:$B$132,2,0)</f>
        <v>Private Well</v>
      </c>
      <c r="H22" s="1">
        <v>38.627738999999998</v>
      </c>
      <c r="I22" s="1">
        <v>-104.67831099999999</v>
      </c>
      <c r="J22" s="10">
        <v>36</v>
      </c>
      <c r="K22" s="10">
        <v>5.0999999999999996</v>
      </c>
      <c r="L22" s="10">
        <v>27</v>
      </c>
      <c r="M22" s="10">
        <v>0</v>
      </c>
      <c r="N22" s="10">
        <v>13</v>
      </c>
      <c r="O22" s="10">
        <v>0</v>
      </c>
    </row>
    <row r="23" spans="1:15" ht="15.75" customHeight="1" x14ac:dyDescent="0.2">
      <c r="A23" s="1" t="s">
        <v>361</v>
      </c>
      <c r="B23" s="2">
        <v>42695</v>
      </c>
      <c r="C23" s="1" t="s">
        <v>362</v>
      </c>
      <c r="D23" s="1">
        <v>117</v>
      </c>
      <c r="E23" s="1" t="s">
        <v>363</v>
      </c>
      <c r="G23" t="str">
        <f>VLOOKUP(A23,Type!$A$1:$B$132,2,0)</f>
        <v>Private Well</v>
      </c>
      <c r="H23" s="1">
        <v>38.62722222</v>
      </c>
      <c r="I23" s="1">
        <v>-104.68</v>
      </c>
      <c r="J23" s="10">
        <v>59</v>
      </c>
      <c r="K23" s="10">
        <v>8.9</v>
      </c>
      <c r="L23" s="10">
        <v>76</v>
      </c>
      <c r="M23" s="10">
        <v>0</v>
      </c>
      <c r="N23" s="10">
        <v>24</v>
      </c>
      <c r="O23" s="10">
        <v>0</v>
      </c>
    </row>
    <row r="24" spans="1:15" ht="15.75" customHeight="1" x14ac:dyDescent="0.2">
      <c r="A24" s="1" t="s">
        <v>319</v>
      </c>
      <c r="B24" s="2">
        <v>42579</v>
      </c>
      <c r="C24" s="1" t="s">
        <v>320</v>
      </c>
      <c r="D24" s="1">
        <v>103</v>
      </c>
      <c r="E24" s="1" t="s">
        <v>321</v>
      </c>
      <c r="G24" t="str">
        <f>VLOOKUP(A24,Type!$A$1:$B$132,2,0)</f>
        <v>Private Well</v>
      </c>
      <c r="H24" s="1">
        <v>38.653588999999997</v>
      </c>
      <c r="I24" s="1">
        <v>-104.68011799999999</v>
      </c>
      <c r="J24" s="10">
        <v>45</v>
      </c>
      <c r="K24" s="10">
        <v>17</v>
      </c>
      <c r="L24" s="10">
        <v>74</v>
      </c>
      <c r="M24" s="10">
        <v>3.8</v>
      </c>
      <c r="N24" s="10">
        <v>40</v>
      </c>
      <c r="O24" s="10">
        <v>73</v>
      </c>
    </row>
    <row r="25" spans="1:15" ht="15.75" customHeight="1" x14ac:dyDescent="0.2">
      <c r="A25" s="1" t="s">
        <v>325</v>
      </c>
      <c r="B25" s="2">
        <v>42579</v>
      </c>
      <c r="C25" s="1" t="s">
        <v>326</v>
      </c>
      <c r="D25" s="1">
        <v>105</v>
      </c>
      <c r="E25" s="1" t="s">
        <v>327</v>
      </c>
      <c r="G25" t="str">
        <f>VLOOKUP(A25,Type!$A$1:$B$132,2,0)</f>
        <v>Private Well</v>
      </c>
      <c r="H25" s="1">
        <v>38.629936000000001</v>
      </c>
      <c r="I25" s="1">
        <v>-104.68022999999999</v>
      </c>
      <c r="J25" s="10">
        <v>62</v>
      </c>
      <c r="K25" s="10">
        <v>16</v>
      </c>
      <c r="L25" s="10">
        <v>71</v>
      </c>
      <c r="M25" s="10">
        <v>0</v>
      </c>
      <c r="N25" s="10">
        <v>21</v>
      </c>
      <c r="O25" s="10">
        <v>0</v>
      </c>
    </row>
    <row r="26" spans="1:15" ht="15.75" customHeight="1" x14ac:dyDescent="0.2">
      <c r="A26" s="1" t="s">
        <v>316</v>
      </c>
      <c r="B26" s="2">
        <v>42579</v>
      </c>
      <c r="C26" s="1" t="s">
        <v>317</v>
      </c>
      <c r="D26" s="1">
        <v>102</v>
      </c>
      <c r="E26" s="1" t="s">
        <v>318</v>
      </c>
      <c r="G26" t="str">
        <f>VLOOKUP(A26,Type!$A$1:$B$132,2,0)</f>
        <v>Private Well</v>
      </c>
      <c r="H26" s="1">
        <v>38.664465999999997</v>
      </c>
      <c r="I26" s="1">
        <v>-104.68111399999999</v>
      </c>
      <c r="J26" s="10">
        <v>35</v>
      </c>
      <c r="K26" s="10">
        <v>5.3</v>
      </c>
      <c r="L26" s="10">
        <v>53</v>
      </c>
      <c r="M26" s="10">
        <v>0</v>
      </c>
      <c r="N26" s="10">
        <v>13</v>
      </c>
      <c r="O26" s="10">
        <v>22</v>
      </c>
    </row>
    <row r="27" spans="1:15" ht="15.75" customHeight="1" x14ac:dyDescent="0.2">
      <c r="A27" s="1" t="s">
        <v>244</v>
      </c>
      <c r="B27" s="2">
        <v>42548</v>
      </c>
      <c r="C27" s="1" t="s">
        <v>245</v>
      </c>
      <c r="D27" s="1">
        <v>78</v>
      </c>
      <c r="E27" s="1" t="s">
        <v>246</v>
      </c>
      <c r="G27" t="str">
        <f>VLOOKUP(A27,Type!$A$1:$B$132,2,0)</f>
        <v>Private Well</v>
      </c>
      <c r="H27" s="1">
        <v>38.652990000000003</v>
      </c>
      <c r="I27" s="1">
        <v>-104.681663</v>
      </c>
      <c r="J27" s="10">
        <v>39</v>
      </c>
      <c r="K27" s="10">
        <v>19</v>
      </c>
      <c r="L27" s="10">
        <v>65</v>
      </c>
      <c r="M27" s="10">
        <v>4</v>
      </c>
      <c r="N27" s="10">
        <v>56</v>
      </c>
      <c r="O27" s="10">
        <v>65</v>
      </c>
    </row>
    <row r="28" spans="1:15" ht="15.75" customHeight="1" x14ac:dyDescent="0.2">
      <c r="A28" s="1" t="s">
        <v>373</v>
      </c>
      <c r="B28" s="2">
        <v>42695</v>
      </c>
      <c r="C28" s="1" t="s">
        <v>374</v>
      </c>
      <c r="D28" s="1">
        <v>121</v>
      </c>
      <c r="E28" s="1" t="s">
        <v>375</v>
      </c>
      <c r="G28" t="str">
        <f>VLOOKUP(A28,Type!$A$1:$B$132,2,0)</f>
        <v>Private Well</v>
      </c>
      <c r="H28" s="1">
        <v>38.661944439999999</v>
      </c>
      <c r="I28" s="1">
        <v>-104.68361109999999</v>
      </c>
      <c r="J28" s="10">
        <v>38</v>
      </c>
      <c r="K28" s="10">
        <v>7</v>
      </c>
      <c r="L28" s="10">
        <v>68</v>
      </c>
      <c r="M28" s="10">
        <v>0</v>
      </c>
      <c r="N28" s="10">
        <v>34</v>
      </c>
      <c r="O28" s="10">
        <v>48</v>
      </c>
    </row>
    <row r="29" spans="1:15" ht="15.75" customHeight="1" x14ac:dyDescent="0.2">
      <c r="A29" s="1" t="s">
        <v>322</v>
      </c>
      <c r="B29" s="2">
        <v>42579</v>
      </c>
      <c r="C29" s="1" t="s">
        <v>323</v>
      </c>
      <c r="D29" s="1">
        <v>104</v>
      </c>
      <c r="E29" s="1" t="s">
        <v>324</v>
      </c>
      <c r="G29" t="str">
        <f>VLOOKUP(A29,Type!$A$1:$B$132,2,0)</f>
        <v>Private Well</v>
      </c>
      <c r="H29" s="1">
        <v>38.652104999999999</v>
      </c>
      <c r="I29" s="1">
        <v>-104.68425999999999</v>
      </c>
      <c r="J29" s="10">
        <v>36</v>
      </c>
      <c r="K29" s="10">
        <v>5.5</v>
      </c>
      <c r="L29" s="10">
        <v>50</v>
      </c>
      <c r="M29" s="10">
        <v>0</v>
      </c>
      <c r="N29" s="10">
        <v>15</v>
      </c>
      <c r="O29" s="10">
        <v>31</v>
      </c>
    </row>
    <row r="30" spans="1:15" ht="15.75" customHeight="1" x14ac:dyDescent="0.2">
      <c r="A30" s="1" t="s">
        <v>70</v>
      </c>
      <c r="B30" s="2">
        <v>42460</v>
      </c>
      <c r="C30" s="1" t="s">
        <v>71</v>
      </c>
      <c r="D30" s="1">
        <v>20</v>
      </c>
      <c r="E30" s="1" t="s">
        <v>72</v>
      </c>
      <c r="G30" t="str">
        <f>VLOOKUP(A30,Type!$A$1:$B$132,2,0)</f>
        <v>Private Well</v>
      </c>
      <c r="H30" s="1">
        <v>38.6541</v>
      </c>
      <c r="I30" s="1">
        <v>-104.68429999999999</v>
      </c>
      <c r="J30" s="10">
        <v>0</v>
      </c>
      <c r="K30" s="10">
        <v>14</v>
      </c>
      <c r="L30" s="10">
        <v>76</v>
      </c>
      <c r="M30" s="10">
        <v>0</v>
      </c>
      <c r="N30" s="10">
        <v>38</v>
      </c>
      <c r="O30" s="10">
        <v>64</v>
      </c>
    </row>
    <row r="31" spans="1:15" ht="15.75" customHeight="1" x14ac:dyDescent="0.2">
      <c r="A31" s="1" t="s">
        <v>337</v>
      </c>
      <c r="B31" s="2">
        <v>42619</v>
      </c>
      <c r="C31" s="1" t="s">
        <v>338</v>
      </c>
      <c r="D31" s="1">
        <v>109</v>
      </c>
      <c r="E31" s="1" t="s">
        <v>339</v>
      </c>
      <c r="G31" t="str">
        <f>VLOOKUP(A31,Type!$A$1:$B$132,2,0)</f>
        <v>Private Well</v>
      </c>
      <c r="H31" s="1">
        <v>38.651387999999997</v>
      </c>
      <c r="I31" s="1">
        <v>-104.684444</v>
      </c>
      <c r="J31" s="10">
        <v>31</v>
      </c>
      <c r="K31" s="10">
        <v>9.1999999999999993</v>
      </c>
      <c r="L31" s="10">
        <v>46</v>
      </c>
      <c r="M31" s="10">
        <v>0</v>
      </c>
      <c r="N31" s="10">
        <v>25</v>
      </c>
      <c r="O31" s="10">
        <v>46</v>
      </c>
    </row>
    <row r="32" spans="1:15" ht="15.75" customHeight="1" x14ac:dyDescent="0.2">
      <c r="A32" s="1" t="s">
        <v>385</v>
      </c>
      <c r="B32" s="2">
        <v>42695</v>
      </c>
      <c r="C32" s="1" t="s">
        <v>386</v>
      </c>
      <c r="D32" s="1">
        <v>125</v>
      </c>
      <c r="E32" s="1" t="s">
        <v>387</v>
      </c>
      <c r="G32" t="str">
        <f>VLOOKUP(A32,Type!$A$1:$B$132,2,0)</f>
        <v>Private Well</v>
      </c>
      <c r="H32" s="1">
        <v>38.642222220000001</v>
      </c>
      <c r="I32" s="1">
        <v>-104.6844444</v>
      </c>
      <c r="J32" s="10">
        <v>30</v>
      </c>
      <c r="K32" s="10">
        <v>4.5</v>
      </c>
      <c r="L32" s="10">
        <v>56</v>
      </c>
      <c r="M32" s="10">
        <v>0</v>
      </c>
      <c r="N32" s="10">
        <v>20</v>
      </c>
      <c r="O32" s="10">
        <v>22</v>
      </c>
    </row>
    <row r="33" spans="1:15" ht="15.75" customHeight="1" x14ac:dyDescent="0.2">
      <c r="A33" s="1" t="s">
        <v>328</v>
      </c>
      <c r="B33" s="2">
        <v>42579</v>
      </c>
      <c r="C33" s="1" t="s">
        <v>329</v>
      </c>
      <c r="D33" s="1">
        <v>106</v>
      </c>
      <c r="E33" s="1" t="s">
        <v>330</v>
      </c>
      <c r="G33" t="str">
        <f>VLOOKUP(A33,Type!$A$1:$B$132,2,0)</f>
        <v>Private Well</v>
      </c>
      <c r="H33" s="1">
        <v>38.654308</v>
      </c>
      <c r="I33" s="1">
        <v>-104.68587599999999</v>
      </c>
      <c r="J33" s="10">
        <v>30</v>
      </c>
      <c r="K33" s="10">
        <v>14</v>
      </c>
      <c r="L33" s="10">
        <v>58</v>
      </c>
      <c r="M33" s="10">
        <v>0</v>
      </c>
      <c r="N33" s="10">
        <v>41</v>
      </c>
      <c r="O33" s="10">
        <v>46</v>
      </c>
    </row>
    <row r="34" spans="1:15" ht="15.75" customHeight="1" x14ac:dyDescent="0.2">
      <c r="A34" s="1" t="s">
        <v>76</v>
      </c>
      <c r="B34" s="2">
        <v>42460</v>
      </c>
      <c r="C34" s="1" t="s">
        <v>77</v>
      </c>
      <c r="D34" s="1">
        <v>22</v>
      </c>
      <c r="E34" s="1" t="s">
        <v>78</v>
      </c>
      <c r="G34" t="str">
        <f>VLOOKUP(A34,Type!$A$1:$B$132,2,0)</f>
        <v>Private Well</v>
      </c>
      <c r="H34" s="1">
        <v>38.651899999999998</v>
      </c>
      <c r="I34" s="1">
        <v>-104.6859</v>
      </c>
      <c r="J34" s="10">
        <v>0</v>
      </c>
      <c r="K34" s="10">
        <v>21</v>
      </c>
      <c r="L34" s="10">
        <v>88</v>
      </c>
      <c r="M34" s="10">
        <v>0</v>
      </c>
      <c r="N34" s="10">
        <v>46</v>
      </c>
      <c r="O34" s="10">
        <v>48</v>
      </c>
    </row>
    <row r="35" spans="1:15" ht="15.75" customHeight="1" x14ac:dyDescent="0.2">
      <c r="A35" s="1" t="s">
        <v>82</v>
      </c>
      <c r="B35" s="2">
        <v>42464</v>
      </c>
      <c r="C35" s="1" t="s">
        <v>83</v>
      </c>
      <c r="D35" s="1">
        <v>24</v>
      </c>
      <c r="E35" s="1" t="s">
        <v>84</v>
      </c>
      <c r="G35" t="str">
        <f>VLOOKUP(A35,Type!$A$1:$B$132,2,0)</f>
        <v>Private Well</v>
      </c>
      <c r="H35" s="1">
        <v>38.648761100000002</v>
      </c>
      <c r="I35" s="1">
        <v>-104.68630280000001</v>
      </c>
      <c r="J35" s="10">
        <v>0</v>
      </c>
      <c r="K35" s="10">
        <v>15</v>
      </c>
      <c r="L35" s="10">
        <v>71</v>
      </c>
      <c r="M35" s="10">
        <v>0</v>
      </c>
      <c r="N35" s="10">
        <v>42</v>
      </c>
      <c r="O35" s="10">
        <v>62</v>
      </c>
    </row>
    <row r="36" spans="1:15" ht="15.75" customHeight="1" x14ac:dyDescent="0.2">
      <c r="A36" s="1" t="s">
        <v>73</v>
      </c>
      <c r="B36" s="2">
        <v>42460</v>
      </c>
      <c r="C36" s="1" t="s">
        <v>74</v>
      </c>
      <c r="D36" s="1">
        <v>21</v>
      </c>
      <c r="E36" s="1" t="s">
        <v>75</v>
      </c>
      <c r="G36" t="str">
        <f>VLOOKUP(A36,Type!$A$1:$B$132,2,0)</f>
        <v>Private Well</v>
      </c>
      <c r="H36" s="1">
        <v>38.653100000000002</v>
      </c>
      <c r="I36" s="1">
        <v>-104.6866</v>
      </c>
      <c r="J36" s="10">
        <v>0</v>
      </c>
      <c r="K36" s="10">
        <v>17</v>
      </c>
      <c r="L36" s="10">
        <v>82</v>
      </c>
      <c r="M36" s="10">
        <v>0</v>
      </c>
      <c r="N36" s="10">
        <v>44</v>
      </c>
      <c r="O36" s="10">
        <v>51</v>
      </c>
    </row>
    <row r="37" spans="1:15" ht="15.75" customHeight="1" x14ac:dyDescent="0.2">
      <c r="A37" s="1" t="s">
        <v>238</v>
      </c>
      <c r="B37" s="2">
        <v>42548</v>
      </c>
      <c r="C37" s="1" t="s">
        <v>239</v>
      </c>
      <c r="D37" s="1">
        <v>76</v>
      </c>
      <c r="E37" s="1" t="s">
        <v>240</v>
      </c>
      <c r="G37" t="str">
        <f>VLOOKUP(A37,Type!$A$1:$B$132,2,0)</f>
        <v>Private Well</v>
      </c>
      <c r="H37" s="1">
        <v>38.677945000000001</v>
      </c>
      <c r="I37" s="1">
        <v>-104.687033</v>
      </c>
      <c r="J37" s="10">
        <v>32</v>
      </c>
      <c r="K37" s="10">
        <v>4.8</v>
      </c>
      <c r="L37" s="10">
        <v>44</v>
      </c>
      <c r="M37" s="10">
        <v>0</v>
      </c>
      <c r="N37" s="10">
        <v>13</v>
      </c>
      <c r="O37" s="10">
        <v>24</v>
      </c>
    </row>
    <row r="38" spans="1:15" ht="15.75" customHeight="1" x14ac:dyDescent="0.2">
      <c r="A38" s="1" t="s">
        <v>334</v>
      </c>
      <c r="B38" s="2">
        <v>42619</v>
      </c>
      <c r="C38" s="1" t="s">
        <v>335</v>
      </c>
      <c r="D38" s="1">
        <v>108</v>
      </c>
      <c r="E38" s="1" t="s">
        <v>336</v>
      </c>
      <c r="G38" t="str">
        <f>VLOOKUP(A38,Type!$A$1:$B$132,2,0)</f>
        <v>Private Well</v>
      </c>
      <c r="H38" s="1">
        <v>38.648054999999999</v>
      </c>
      <c r="I38" s="1">
        <v>-104.68805500000001</v>
      </c>
      <c r="J38" s="10">
        <v>24</v>
      </c>
      <c r="K38" s="10">
        <v>9.5</v>
      </c>
      <c r="L38" s="10">
        <v>44</v>
      </c>
      <c r="M38" s="10">
        <v>0</v>
      </c>
      <c r="N38" s="10">
        <v>24</v>
      </c>
      <c r="O38" s="10">
        <v>27</v>
      </c>
    </row>
    <row r="39" spans="1:15" ht="12.75" x14ac:dyDescent="0.2">
      <c r="A39" s="1" t="s">
        <v>364</v>
      </c>
      <c r="B39" s="2">
        <v>42695</v>
      </c>
      <c r="C39" s="1" t="s">
        <v>365</v>
      </c>
      <c r="D39" s="1">
        <v>118</v>
      </c>
      <c r="E39" s="1" t="s">
        <v>366</v>
      </c>
      <c r="G39" t="str">
        <f>VLOOKUP(A39,Type!$A$1:$B$132,2,0)</f>
        <v>Private Well</v>
      </c>
      <c r="H39" s="1">
        <v>38.65</v>
      </c>
      <c r="I39" s="1">
        <v>-104.68888889999999</v>
      </c>
      <c r="J39" s="10">
        <v>33</v>
      </c>
      <c r="K39" s="10">
        <v>9</v>
      </c>
      <c r="L39" s="10">
        <v>70</v>
      </c>
      <c r="M39" s="10">
        <v>0</v>
      </c>
      <c r="N39" s="10">
        <v>44</v>
      </c>
      <c r="O39" s="10">
        <v>36</v>
      </c>
    </row>
    <row r="40" spans="1:15" ht="12.75" x14ac:dyDescent="0.2">
      <c r="A40" s="1" t="s">
        <v>241</v>
      </c>
      <c r="B40" s="2">
        <v>42548</v>
      </c>
      <c r="C40" s="1" t="s">
        <v>242</v>
      </c>
      <c r="D40" s="1">
        <v>77</v>
      </c>
      <c r="E40" s="1" t="s">
        <v>243</v>
      </c>
      <c r="F40" t="str">
        <f>VLOOKUP(A40,Type!$A$1:$C$132,3,0)</f>
        <v>CO0121300</v>
      </c>
      <c r="G40" t="str">
        <f>VLOOKUP(A40,Type!$A$1:$B$132,2,0)</f>
        <v>PWS and Other</v>
      </c>
      <c r="H40" s="1">
        <v>38.659137000000001</v>
      </c>
      <c r="I40" s="1">
        <v>-104.690442</v>
      </c>
      <c r="J40" s="10">
        <v>0</v>
      </c>
      <c r="K40" s="10">
        <v>3.8</v>
      </c>
      <c r="L40" s="10">
        <v>10</v>
      </c>
      <c r="M40" s="10">
        <v>0</v>
      </c>
      <c r="N40" s="10">
        <v>9.1</v>
      </c>
      <c r="O40" s="10">
        <v>0</v>
      </c>
    </row>
    <row r="41" spans="1:15" ht="12.75" x14ac:dyDescent="0.2">
      <c r="A41" s="1" t="s">
        <v>79</v>
      </c>
      <c r="B41" s="2">
        <v>42460</v>
      </c>
      <c r="C41" s="1" t="s">
        <v>80</v>
      </c>
      <c r="D41" s="1">
        <v>23</v>
      </c>
      <c r="E41" s="1" t="s">
        <v>81</v>
      </c>
      <c r="G41" t="str">
        <f>VLOOKUP(A41,Type!$A$1:$B$132,2,0)</f>
        <v>Private Well</v>
      </c>
      <c r="H41" s="1">
        <v>38.656100000000002</v>
      </c>
      <c r="I41" s="1">
        <v>-104.6914</v>
      </c>
      <c r="J41" s="10">
        <v>0</v>
      </c>
      <c r="K41" s="10">
        <v>22</v>
      </c>
      <c r="L41" s="10">
        <v>86</v>
      </c>
      <c r="M41" s="10">
        <v>0</v>
      </c>
      <c r="N41" s="10">
        <v>45</v>
      </c>
      <c r="O41" s="10">
        <v>41</v>
      </c>
    </row>
    <row r="42" spans="1:15" ht="12.75" x14ac:dyDescent="0.2">
      <c r="A42" s="1" t="s">
        <v>379</v>
      </c>
      <c r="B42" s="2">
        <v>42695</v>
      </c>
      <c r="C42" s="1" t="s">
        <v>380</v>
      </c>
      <c r="D42" s="1">
        <v>123</v>
      </c>
      <c r="E42" s="1" t="s">
        <v>381</v>
      </c>
      <c r="G42" t="str">
        <f>VLOOKUP(A42,Type!$A$1:$B$132,2,0)</f>
        <v>Private Well</v>
      </c>
      <c r="H42" s="1">
        <v>38.691388889999999</v>
      </c>
      <c r="I42" s="1">
        <v>-104.6972222</v>
      </c>
      <c r="J42" s="10">
        <v>32</v>
      </c>
      <c r="K42" s="10">
        <v>5</v>
      </c>
      <c r="L42" s="10">
        <v>60</v>
      </c>
      <c r="M42" s="10">
        <v>0</v>
      </c>
      <c r="N42" s="10">
        <v>21</v>
      </c>
      <c r="O42" s="10">
        <v>32</v>
      </c>
    </row>
    <row r="43" spans="1:15" ht="12.75" x14ac:dyDescent="0.2">
      <c r="A43" s="1" t="s">
        <v>382</v>
      </c>
      <c r="B43" s="2">
        <v>42695</v>
      </c>
      <c r="C43" s="1" t="s">
        <v>383</v>
      </c>
      <c r="D43" s="1">
        <v>124</v>
      </c>
      <c r="E43" s="1" t="s">
        <v>384</v>
      </c>
      <c r="G43" t="str">
        <f>VLOOKUP(A43,Type!$A$1:$B$132,2,0)</f>
        <v>Private Well</v>
      </c>
      <c r="H43" s="1">
        <v>38.688611109999997</v>
      </c>
      <c r="I43" s="1">
        <v>-104.69750000000001</v>
      </c>
      <c r="J43" s="10">
        <v>16</v>
      </c>
      <c r="K43" s="10">
        <v>2.2999999999999998</v>
      </c>
      <c r="L43" s="10">
        <v>25</v>
      </c>
      <c r="M43" s="10">
        <v>0</v>
      </c>
      <c r="N43" s="10">
        <v>8.5</v>
      </c>
      <c r="O43" s="10">
        <v>14</v>
      </c>
    </row>
    <row r="44" spans="1:15" ht="12.75" x14ac:dyDescent="0.2">
      <c r="A44" s="1" t="s">
        <v>67</v>
      </c>
      <c r="B44" s="2">
        <v>42460</v>
      </c>
      <c r="C44" s="1" t="s">
        <v>68</v>
      </c>
      <c r="D44" s="1">
        <v>19</v>
      </c>
      <c r="E44" s="1" t="s">
        <v>69</v>
      </c>
      <c r="G44" t="str">
        <f>VLOOKUP(A44,Type!$A$1:$B$132,2,0)</f>
        <v>Private Well</v>
      </c>
      <c r="H44" s="1">
        <v>38.698099999999997</v>
      </c>
      <c r="I44" s="1">
        <v>-104.6981</v>
      </c>
      <c r="J44" s="10">
        <v>0</v>
      </c>
      <c r="K44" s="10">
        <v>12</v>
      </c>
      <c r="L44" s="10">
        <v>81</v>
      </c>
      <c r="M44" s="10">
        <v>0</v>
      </c>
      <c r="N44" s="10">
        <v>30</v>
      </c>
      <c r="O44" s="10">
        <v>67</v>
      </c>
    </row>
    <row r="45" spans="1:15" ht="12.75" x14ac:dyDescent="0.2">
      <c r="A45" s="1" t="s">
        <v>112</v>
      </c>
      <c r="B45" s="2">
        <v>42579</v>
      </c>
      <c r="C45" s="1" t="s">
        <v>113</v>
      </c>
      <c r="D45" s="1">
        <v>34</v>
      </c>
      <c r="E45" s="1" t="s">
        <v>114</v>
      </c>
      <c r="G45" t="str">
        <f>VLOOKUP(A45,Type!$A$1:$B$132,2,0)</f>
        <v>Private Well</v>
      </c>
      <c r="H45" s="1">
        <v>38.693953999999998</v>
      </c>
      <c r="I45" s="1">
        <v>-104.69834899999999</v>
      </c>
      <c r="J45" s="10">
        <v>23</v>
      </c>
      <c r="K45" s="10">
        <v>10</v>
      </c>
      <c r="L45" s="10">
        <v>54</v>
      </c>
      <c r="M45" s="10">
        <v>0</v>
      </c>
      <c r="N45" s="10">
        <v>27</v>
      </c>
      <c r="O45" s="10">
        <v>62</v>
      </c>
    </row>
    <row r="46" spans="1:15" ht="12.75" x14ac:dyDescent="0.2">
      <c r="A46" s="1" t="s">
        <v>25</v>
      </c>
      <c r="B46" s="2"/>
      <c r="C46" s="1" t="s">
        <v>26</v>
      </c>
      <c r="D46" s="1">
        <v>5</v>
      </c>
      <c r="E46" s="1" t="s">
        <v>27</v>
      </c>
      <c r="F46" t="str">
        <f>VLOOKUP(A46,Type!$A$1:$C$132,3,0)</f>
        <v>CO0121300</v>
      </c>
      <c r="G46" t="str">
        <f>VLOOKUP(A46,Type!$A$1:$B$132,2,0)</f>
        <v>PWS and Other</v>
      </c>
      <c r="H46" s="1">
        <v>38.681944999999999</v>
      </c>
      <c r="I46" s="1">
        <v>-104.69972199999999</v>
      </c>
      <c r="J46" s="10">
        <v>0</v>
      </c>
      <c r="K46" s="10">
        <v>0</v>
      </c>
      <c r="L46" s="10">
        <v>50</v>
      </c>
      <c r="M46" s="10">
        <v>0</v>
      </c>
      <c r="N46" s="10">
        <v>27</v>
      </c>
      <c r="O46" s="10">
        <v>50</v>
      </c>
    </row>
    <row r="47" spans="1:15" ht="12.75" x14ac:dyDescent="0.2">
      <c r="A47" s="1" t="s">
        <v>307</v>
      </c>
      <c r="B47" s="2">
        <v>42580</v>
      </c>
      <c r="C47" s="1" t="s">
        <v>308</v>
      </c>
      <c r="D47" s="1">
        <v>99</v>
      </c>
      <c r="E47" s="1" t="s">
        <v>309</v>
      </c>
      <c r="G47" t="str">
        <f>VLOOKUP(A47,Type!$A$1:$B$132,2,0)</f>
        <v>Private Well</v>
      </c>
      <c r="H47" s="1">
        <v>38.705221000000002</v>
      </c>
      <c r="I47" s="1">
        <v>-104.702079</v>
      </c>
      <c r="J47" s="10">
        <v>19</v>
      </c>
      <c r="K47" s="10">
        <v>8.3000000000000007</v>
      </c>
      <c r="L47" s="10">
        <v>31</v>
      </c>
      <c r="M47" s="10">
        <v>4.5999999999999996</v>
      </c>
      <c r="N47" s="10">
        <v>23</v>
      </c>
      <c r="O47" s="10">
        <v>52</v>
      </c>
    </row>
    <row r="48" spans="1:15" ht="12.75" x14ac:dyDescent="0.2">
      <c r="A48" s="1" t="s">
        <v>22</v>
      </c>
      <c r="B48" s="2"/>
      <c r="C48" s="1" t="s">
        <v>23</v>
      </c>
      <c r="D48" s="1">
        <v>4</v>
      </c>
      <c r="E48" s="1" t="s">
        <v>24</v>
      </c>
      <c r="F48" t="str">
        <f>VLOOKUP(A48,Type!$A$1:$C$132,3,0)</f>
        <v>CO0121300</v>
      </c>
      <c r="G48" t="str">
        <f>VLOOKUP(A48,Type!$A$1:$B$132,2,0)</f>
        <v>PWS and Other</v>
      </c>
      <c r="H48" s="1">
        <v>38.685555000000001</v>
      </c>
      <c r="I48" s="1">
        <v>-104.702778</v>
      </c>
      <c r="J48" s="10">
        <v>0</v>
      </c>
      <c r="K48" s="10">
        <v>10</v>
      </c>
      <c r="L48" s="10">
        <v>54</v>
      </c>
      <c r="M48" s="10">
        <v>0</v>
      </c>
      <c r="N48" s="10">
        <v>32</v>
      </c>
      <c r="O48" s="10">
        <v>49</v>
      </c>
    </row>
    <row r="49" spans="1:15" ht="12.75" x14ac:dyDescent="0.2">
      <c r="A49" s="1" t="s">
        <v>289</v>
      </c>
      <c r="B49" s="2">
        <v>41472</v>
      </c>
      <c r="C49" s="1" t="s">
        <v>290</v>
      </c>
      <c r="D49" s="1">
        <v>93</v>
      </c>
      <c r="E49" s="1" t="s">
        <v>291</v>
      </c>
      <c r="F49" t="str">
        <f>VLOOKUP(A49,Type!$A$1:$C$132,3,0)</f>
        <v>CO0121300</v>
      </c>
      <c r="G49" t="str">
        <f>VLOOKUP(A49,Type!$A$1:$B$132,2,0)</f>
        <v>PWS and Other</v>
      </c>
      <c r="H49" s="1">
        <v>38.686678999999998</v>
      </c>
      <c r="I49" s="1">
        <v>-104.703709</v>
      </c>
      <c r="J49" s="10">
        <v>0</v>
      </c>
      <c r="K49" s="10">
        <v>0</v>
      </c>
      <c r="L49" s="10">
        <v>50</v>
      </c>
      <c r="M49" s="10">
        <v>0</v>
      </c>
      <c r="N49" s="10">
        <v>40</v>
      </c>
      <c r="O49" s="10">
        <v>0</v>
      </c>
    </row>
    <row r="50" spans="1:15" ht="12.75" x14ac:dyDescent="0.2">
      <c r="A50" s="1" t="s">
        <v>28</v>
      </c>
      <c r="B50" s="2"/>
      <c r="C50" s="1" t="s">
        <v>29</v>
      </c>
      <c r="D50" s="1">
        <v>6</v>
      </c>
      <c r="E50" s="1" t="s">
        <v>30</v>
      </c>
      <c r="F50" t="str">
        <f>VLOOKUP(A50,Type!$A$1:$C$132,3,0)</f>
        <v>CO0121300</v>
      </c>
      <c r="G50" t="str">
        <f>VLOOKUP(A50,Type!$A$1:$B$132,2,0)</f>
        <v>PWS and Other</v>
      </c>
      <c r="H50" s="1">
        <v>38.688333</v>
      </c>
      <c r="I50" s="1">
        <v>-104.705</v>
      </c>
      <c r="J50" s="10">
        <v>0</v>
      </c>
      <c r="K50" s="10">
        <v>10</v>
      </c>
      <c r="L50" s="10">
        <v>59</v>
      </c>
      <c r="M50" s="10">
        <v>0</v>
      </c>
      <c r="N50" s="10">
        <v>33</v>
      </c>
      <c r="O50" s="10">
        <v>46</v>
      </c>
    </row>
    <row r="51" spans="1:15" ht="12.75" x14ac:dyDescent="0.2">
      <c r="A51" s="1" t="s">
        <v>118</v>
      </c>
      <c r="B51" s="2">
        <v>42460</v>
      </c>
      <c r="C51" s="1" t="s">
        <v>119</v>
      </c>
      <c r="D51" s="1">
        <v>36</v>
      </c>
      <c r="E51" s="1" t="s">
        <v>120</v>
      </c>
      <c r="G51" t="str">
        <f>VLOOKUP(A51,Type!$A$1:$B$132,2,0)</f>
        <v>Private Well</v>
      </c>
      <c r="H51" s="1">
        <v>38.690199999999997</v>
      </c>
      <c r="I51" s="1">
        <v>-104.7051</v>
      </c>
      <c r="J51" s="10">
        <v>0</v>
      </c>
      <c r="K51" s="10">
        <v>22</v>
      </c>
      <c r="L51" s="10">
        <v>110</v>
      </c>
      <c r="M51" s="10">
        <v>0</v>
      </c>
      <c r="N51" s="10">
        <v>56</v>
      </c>
      <c r="O51" s="10">
        <v>62</v>
      </c>
    </row>
    <row r="52" spans="1:15" ht="12.75" x14ac:dyDescent="0.2">
      <c r="A52" s="1" t="s">
        <v>343</v>
      </c>
      <c r="B52" s="2">
        <v>42619</v>
      </c>
      <c r="C52" s="1" t="s">
        <v>344</v>
      </c>
      <c r="D52" s="1">
        <v>111</v>
      </c>
      <c r="E52" s="1" t="s">
        <v>345</v>
      </c>
      <c r="G52" t="str">
        <f>VLOOKUP(A52,Type!$A$1:$B$132,2,0)</f>
        <v>Private Well</v>
      </c>
      <c r="H52" s="1">
        <v>38.703333000000001</v>
      </c>
      <c r="I52" s="1">
        <v>-104.706388</v>
      </c>
      <c r="J52" s="10">
        <v>18</v>
      </c>
      <c r="K52" s="10">
        <v>12</v>
      </c>
      <c r="L52" s="10">
        <v>40</v>
      </c>
      <c r="M52" s="10">
        <v>0</v>
      </c>
      <c r="N52" s="10">
        <v>43</v>
      </c>
      <c r="O52" s="10">
        <v>29</v>
      </c>
    </row>
    <row r="53" spans="1:15" ht="12.75" x14ac:dyDescent="0.2">
      <c r="A53" s="1" t="s">
        <v>49</v>
      </c>
      <c r="B53" s="2">
        <v>42494</v>
      </c>
      <c r="C53" s="1" t="s">
        <v>50</v>
      </c>
      <c r="D53" s="1">
        <v>13</v>
      </c>
      <c r="E53" s="1" t="s">
        <v>51</v>
      </c>
      <c r="G53" t="str">
        <f>VLOOKUP(A53,Type!$A$1:$B$132,2,0)</f>
        <v>PWS and Other</v>
      </c>
      <c r="H53" s="1">
        <v>38.794680999999997</v>
      </c>
      <c r="I53" s="1">
        <v>-104.706928</v>
      </c>
      <c r="J53" s="10">
        <v>240</v>
      </c>
      <c r="K53" s="10">
        <v>200</v>
      </c>
      <c r="L53" s="10">
        <v>970</v>
      </c>
      <c r="M53" s="10">
        <v>25</v>
      </c>
      <c r="N53" s="10">
        <v>200</v>
      </c>
      <c r="O53" s="10">
        <v>1600</v>
      </c>
    </row>
    <row r="54" spans="1:15" ht="12.75" x14ac:dyDescent="0.2">
      <c r="A54" s="1" t="s">
        <v>277</v>
      </c>
      <c r="B54" s="2">
        <v>42516</v>
      </c>
      <c r="C54" s="1" t="s">
        <v>278</v>
      </c>
      <c r="D54" s="1">
        <v>89</v>
      </c>
      <c r="E54" s="1" t="s">
        <v>279</v>
      </c>
      <c r="F54" t="str">
        <f>VLOOKUP(A54,Type!$A$1:$C$132,3,0)</f>
        <v>CO0121300</v>
      </c>
      <c r="G54" t="str">
        <f>VLOOKUP(A54,Type!$A$1:$B$132,2,0)</f>
        <v>PWS and Other</v>
      </c>
      <c r="H54" s="1">
        <v>38.743549999999999</v>
      </c>
      <c r="I54" s="1">
        <v>-104.70780000000001</v>
      </c>
      <c r="J54" s="10">
        <v>23</v>
      </c>
      <c r="K54" s="10">
        <v>12</v>
      </c>
      <c r="L54" s="10">
        <v>34</v>
      </c>
      <c r="M54" s="10">
        <v>4.5</v>
      </c>
      <c r="N54" s="10">
        <v>33</v>
      </c>
      <c r="O54" s="10">
        <v>64</v>
      </c>
    </row>
    <row r="55" spans="1:15" ht="12.75" x14ac:dyDescent="0.2">
      <c r="A55" s="1" t="s">
        <v>103</v>
      </c>
      <c r="B55" s="2">
        <v>42460</v>
      </c>
      <c r="C55" s="1" t="s">
        <v>104</v>
      </c>
      <c r="D55" s="1">
        <v>31</v>
      </c>
      <c r="E55" s="1" t="s">
        <v>105</v>
      </c>
      <c r="G55" t="str">
        <f>VLOOKUP(A55,Type!$A$1:$B$132,2,0)</f>
        <v>Private Well</v>
      </c>
      <c r="H55" s="1">
        <v>38.705016999999998</v>
      </c>
      <c r="I55" s="1">
        <v>-104.70999500000001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 spans="1:15" ht="12.75" x14ac:dyDescent="0.2">
      <c r="A56" s="1" t="s">
        <v>388</v>
      </c>
      <c r="B56" s="2">
        <v>42782</v>
      </c>
      <c r="C56" s="1" t="s">
        <v>389</v>
      </c>
      <c r="D56" s="1">
        <v>126</v>
      </c>
      <c r="E56" s="1" t="s">
        <v>390</v>
      </c>
      <c r="G56" t="str">
        <f>VLOOKUP(A56,Type!$A$1:$B$132,2,0)</f>
        <v>PWS and Other</v>
      </c>
      <c r="H56" s="1">
        <v>38.7355515</v>
      </c>
      <c r="I56" s="1">
        <v>-104.71358290000001</v>
      </c>
      <c r="J56" s="10">
        <v>20</v>
      </c>
      <c r="K56" s="10">
        <v>6</v>
      </c>
      <c r="L56" s="10">
        <v>49</v>
      </c>
      <c r="M56" s="10">
        <v>0</v>
      </c>
      <c r="N56" s="10">
        <v>30</v>
      </c>
      <c r="O56" s="10">
        <v>36</v>
      </c>
    </row>
    <row r="57" spans="1:15" ht="12.75" x14ac:dyDescent="0.2">
      <c r="A57" s="1" t="s">
        <v>13</v>
      </c>
      <c r="B57" s="2">
        <v>42431</v>
      </c>
      <c r="C57" s="1" t="s">
        <v>14</v>
      </c>
      <c r="D57" s="1">
        <v>1</v>
      </c>
      <c r="E57" s="1" t="s">
        <v>15</v>
      </c>
      <c r="F57" t="str">
        <f>VLOOKUP(A57,Type!$A$1:$C$132,3,0)</f>
        <v>CO0221435</v>
      </c>
      <c r="G57" t="str">
        <f>VLOOKUP(A57,Type!$A$1:$B$132,2,0)</f>
        <v>PWS and Other</v>
      </c>
      <c r="H57" s="1">
        <v>38.709167000000001</v>
      </c>
      <c r="I57" s="1">
        <v>-104.715833</v>
      </c>
      <c r="J57" s="10">
        <v>28</v>
      </c>
      <c r="K57" s="10">
        <v>5.3</v>
      </c>
      <c r="L57" s="10">
        <v>38</v>
      </c>
      <c r="M57" s="10">
        <v>0</v>
      </c>
      <c r="N57" s="10">
        <v>18</v>
      </c>
      <c r="O57" s="10">
        <v>31</v>
      </c>
    </row>
    <row r="58" spans="1:15" ht="12.75" x14ac:dyDescent="0.2">
      <c r="A58" s="1" t="s">
        <v>19</v>
      </c>
      <c r="B58" s="2">
        <v>42431</v>
      </c>
      <c r="C58" s="1" t="s">
        <v>20</v>
      </c>
      <c r="D58" s="1">
        <v>3</v>
      </c>
      <c r="E58" s="1" t="s">
        <v>21</v>
      </c>
      <c r="F58" t="str">
        <f>VLOOKUP(A58,Type!$A$1:$C$132,3,0)</f>
        <v>CO0221436</v>
      </c>
      <c r="G58" t="str">
        <f>VLOOKUP(A58,Type!$A$1:$B$132,2,0)</f>
        <v>PWS and Other</v>
      </c>
      <c r="H58" s="1">
        <v>38.709721999999999</v>
      </c>
      <c r="I58" s="1">
        <v>-104.716111</v>
      </c>
      <c r="J58" s="10">
        <v>260</v>
      </c>
      <c r="K58" s="10">
        <v>6.1</v>
      </c>
      <c r="L58" s="10">
        <v>35</v>
      </c>
      <c r="M58" s="10">
        <v>0</v>
      </c>
      <c r="N58" s="10">
        <v>15</v>
      </c>
      <c r="O58" s="10">
        <v>20</v>
      </c>
    </row>
    <row r="59" spans="1:15" ht="12.75" x14ac:dyDescent="0.2">
      <c r="A59" s="1" t="s">
        <v>16</v>
      </c>
      <c r="B59" s="2">
        <v>42431</v>
      </c>
      <c r="C59" s="1" t="s">
        <v>17</v>
      </c>
      <c r="D59" s="1">
        <v>2</v>
      </c>
      <c r="E59" s="1" t="s">
        <v>18</v>
      </c>
      <c r="F59" t="str">
        <f>VLOOKUP(A59,Type!$A$1:$C$132,3,0)</f>
        <v>CO0221436</v>
      </c>
      <c r="G59" t="str">
        <f>VLOOKUP(A59,Type!$A$1:$B$132,2,0)</f>
        <v>PWS and Other</v>
      </c>
      <c r="H59" s="1">
        <v>38.713611</v>
      </c>
      <c r="I59" s="1">
        <v>-104.716667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 spans="1:15" ht="12.75" x14ac:dyDescent="0.2">
      <c r="A60" s="1" t="s">
        <v>256</v>
      </c>
      <c r="B60" s="2">
        <v>42549</v>
      </c>
      <c r="C60" s="1" t="s">
        <v>257</v>
      </c>
      <c r="D60" s="1">
        <v>82</v>
      </c>
      <c r="E60" s="1" t="s">
        <v>258</v>
      </c>
      <c r="G60" t="str">
        <f>VLOOKUP(A60,Type!$A$1:$B$132,2,0)</f>
        <v>Private Well</v>
      </c>
      <c r="H60" s="1">
        <v>38.776783000000002</v>
      </c>
      <c r="I60" s="1">
        <v>-104.7242667</v>
      </c>
      <c r="J60" s="10">
        <v>98</v>
      </c>
      <c r="K60" s="10">
        <v>62</v>
      </c>
      <c r="L60" s="10">
        <v>260</v>
      </c>
      <c r="M60" s="10">
        <v>0</v>
      </c>
      <c r="N60" s="10">
        <v>40</v>
      </c>
      <c r="O60" s="10">
        <v>180</v>
      </c>
    </row>
    <row r="61" spans="1:15" ht="12.75" x14ac:dyDescent="0.2">
      <c r="A61" s="1" t="s">
        <v>199</v>
      </c>
      <c r="B61" s="2">
        <v>42417</v>
      </c>
      <c r="C61" s="1" t="s">
        <v>200</v>
      </c>
      <c r="D61" s="1">
        <v>63</v>
      </c>
      <c r="E61" s="1" t="s">
        <v>201</v>
      </c>
      <c r="F61" t="str">
        <f>VLOOKUP(A61,Type!$A$1:$C$132,3,0)</f>
        <v>CO0121775</v>
      </c>
      <c r="G61" t="str">
        <f>VLOOKUP(A61,Type!$A$1:$B$132,2,0)</f>
        <v>PWS and Other</v>
      </c>
      <c r="H61" s="1">
        <v>38.768495000000001</v>
      </c>
      <c r="I61" s="1">
        <v>-104.724431</v>
      </c>
      <c r="J61" s="10">
        <v>0</v>
      </c>
      <c r="K61" s="10">
        <v>50</v>
      </c>
      <c r="L61" s="10">
        <v>280</v>
      </c>
      <c r="M61" s="10">
        <v>0</v>
      </c>
      <c r="N61" s="10">
        <v>60</v>
      </c>
      <c r="O61" s="10">
        <v>560</v>
      </c>
    </row>
    <row r="62" spans="1:15" ht="12.75" x14ac:dyDescent="0.2">
      <c r="A62" s="1" t="s">
        <v>232</v>
      </c>
      <c r="B62" s="2">
        <v>42682</v>
      </c>
      <c r="C62" s="1" t="s">
        <v>233</v>
      </c>
      <c r="D62" s="1">
        <v>74</v>
      </c>
      <c r="E62" s="1" t="s">
        <v>234</v>
      </c>
      <c r="F62" t="str">
        <f>VLOOKUP(A62,Type!$A$1:$C$132,3,0)</f>
        <v>CO0121900</v>
      </c>
      <c r="G62" t="str">
        <f>VLOOKUP(A62,Type!$A$1:$B$132,2,0)</f>
        <v>PWS and Other</v>
      </c>
      <c r="H62" s="1">
        <v>38.724384000000001</v>
      </c>
      <c r="I62" s="1">
        <v>-104.724433</v>
      </c>
      <c r="J62" s="10">
        <v>72</v>
      </c>
      <c r="K62" s="10">
        <v>22</v>
      </c>
      <c r="L62" s="10">
        <v>140</v>
      </c>
      <c r="M62" s="10">
        <v>3.8</v>
      </c>
      <c r="N62" s="10">
        <v>33</v>
      </c>
      <c r="O62" s="10">
        <v>260</v>
      </c>
    </row>
    <row r="63" spans="1:15" ht="12.75" x14ac:dyDescent="0.2">
      <c r="A63" s="1" t="s">
        <v>220</v>
      </c>
      <c r="B63" s="2">
        <v>42594</v>
      </c>
      <c r="C63" s="1" t="s">
        <v>221</v>
      </c>
      <c r="D63" s="1">
        <v>70</v>
      </c>
      <c r="E63" s="1" t="s">
        <v>222</v>
      </c>
      <c r="F63" t="str">
        <f>VLOOKUP(A63,Type!$A$1:$C$132,3,0)</f>
        <v>CO0121900</v>
      </c>
      <c r="G63" t="str">
        <f>VLOOKUP(A63,Type!$A$1:$B$132,2,0)</f>
        <v>PWS and Other</v>
      </c>
      <c r="H63" s="1">
        <v>38.727846999999997</v>
      </c>
      <c r="I63" s="1">
        <v>-104.72465</v>
      </c>
      <c r="J63" s="10">
        <v>71</v>
      </c>
      <c r="K63" s="10">
        <v>27</v>
      </c>
      <c r="L63" s="10">
        <v>150</v>
      </c>
      <c r="M63" s="10">
        <v>0</v>
      </c>
      <c r="N63" s="10">
        <v>35</v>
      </c>
      <c r="O63" s="10">
        <v>260</v>
      </c>
    </row>
    <row r="64" spans="1:15" ht="12.75" x14ac:dyDescent="0.2">
      <c r="A64" s="1" t="s">
        <v>202</v>
      </c>
      <c r="B64" s="2">
        <v>42417</v>
      </c>
      <c r="C64" s="1" t="s">
        <v>203</v>
      </c>
      <c r="D64" s="1">
        <v>64</v>
      </c>
      <c r="E64" s="1" t="s">
        <v>204</v>
      </c>
      <c r="F64" t="str">
        <f>VLOOKUP(A64,Type!$A$1:$C$132,3,0)</f>
        <v>CO0121775</v>
      </c>
      <c r="G64" t="str">
        <f>VLOOKUP(A64,Type!$A$1:$B$132,2,0)</f>
        <v>PWS and Other</v>
      </c>
      <c r="H64" s="1">
        <v>38.765045999999998</v>
      </c>
      <c r="I64" s="1">
        <v>-104.725584</v>
      </c>
      <c r="J64" s="10">
        <v>0</v>
      </c>
      <c r="K64" s="10">
        <v>60</v>
      </c>
      <c r="L64" s="10">
        <v>340</v>
      </c>
      <c r="M64" s="10">
        <v>0</v>
      </c>
      <c r="N64" s="10">
        <v>70</v>
      </c>
      <c r="O64" s="10">
        <v>560</v>
      </c>
    </row>
    <row r="65" spans="1:15" ht="12.75" x14ac:dyDescent="0.2">
      <c r="A65" s="1" t="s">
        <v>223</v>
      </c>
      <c r="B65" s="2">
        <v>42493</v>
      </c>
      <c r="C65" s="1" t="s">
        <v>224</v>
      </c>
      <c r="D65" s="1">
        <v>71</v>
      </c>
      <c r="E65" s="1" t="s">
        <v>225</v>
      </c>
      <c r="F65" t="str">
        <f>VLOOKUP(A65,Type!$A$1:$C$132,3,0)</f>
        <v>CO0121900</v>
      </c>
      <c r="G65" t="str">
        <f>VLOOKUP(A65,Type!$A$1:$B$132,2,0)</f>
        <v>PWS and Other</v>
      </c>
      <c r="H65" s="1">
        <v>38.729256999999997</v>
      </c>
      <c r="I65" s="1">
        <v>-104.726162</v>
      </c>
      <c r="J65" s="10">
        <v>36</v>
      </c>
      <c r="K65" s="10">
        <v>13</v>
      </c>
      <c r="L65" s="10">
        <v>80</v>
      </c>
      <c r="M65" s="10">
        <v>0</v>
      </c>
      <c r="N65" s="10">
        <v>20</v>
      </c>
      <c r="O65" s="10">
        <v>93</v>
      </c>
    </row>
    <row r="66" spans="1:15" ht="12.75" x14ac:dyDescent="0.2">
      <c r="A66" s="1" t="s">
        <v>196</v>
      </c>
      <c r="B66" s="2">
        <v>42417</v>
      </c>
      <c r="C66" s="1" t="s">
        <v>197</v>
      </c>
      <c r="D66" s="1">
        <v>62</v>
      </c>
      <c r="E66" s="1" t="s">
        <v>198</v>
      </c>
      <c r="F66" t="str">
        <f>VLOOKUP(A66,Type!$A$1:$C$132,3,0)</f>
        <v>CO0121775</v>
      </c>
      <c r="G66" t="str">
        <f>VLOOKUP(A66,Type!$A$1:$B$132,2,0)</f>
        <v>PWS and Other</v>
      </c>
      <c r="H66" s="1">
        <v>38.762163000000001</v>
      </c>
      <c r="I66" s="1">
        <v>-104.72686299999999</v>
      </c>
      <c r="J66" s="10">
        <v>0</v>
      </c>
      <c r="K66" s="10">
        <v>40</v>
      </c>
      <c r="L66" s="10">
        <v>220</v>
      </c>
      <c r="M66" s="10">
        <v>0</v>
      </c>
      <c r="N66" s="10">
        <v>40</v>
      </c>
      <c r="O66" s="10">
        <v>400</v>
      </c>
    </row>
    <row r="67" spans="1:15" ht="12.75" x14ac:dyDescent="0.2">
      <c r="A67" s="1" t="s">
        <v>226</v>
      </c>
      <c r="B67" s="2">
        <v>42493</v>
      </c>
      <c r="C67" s="1" t="s">
        <v>227</v>
      </c>
      <c r="D67" s="1">
        <v>72</v>
      </c>
      <c r="E67" s="1" t="s">
        <v>228</v>
      </c>
      <c r="F67" t="str">
        <f>VLOOKUP(A67,Type!$A$1:$C$132,3,0)</f>
        <v>CO0121900</v>
      </c>
      <c r="G67" t="str">
        <f>VLOOKUP(A67,Type!$A$1:$B$132,2,0)</f>
        <v>PWS and Other</v>
      </c>
      <c r="H67" s="1">
        <v>38.729424000000002</v>
      </c>
      <c r="I67" s="1">
        <v>-104.72900300000001</v>
      </c>
      <c r="J67" s="10">
        <v>56</v>
      </c>
      <c r="K67" s="10">
        <v>22</v>
      </c>
      <c r="L67" s="10">
        <v>260</v>
      </c>
      <c r="M67" s="10">
        <v>0</v>
      </c>
      <c r="N67" s="10">
        <v>42</v>
      </c>
      <c r="O67" s="10">
        <v>75</v>
      </c>
    </row>
    <row r="68" spans="1:15" ht="12.75" x14ac:dyDescent="0.2">
      <c r="A68" s="1" t="s">
        <v>235</v>
      </c>
      <c r="B68" s="2">
        <v>42493</v>
      </c>
      <c r="C68" s="1" t="s">
        <v>236</v>
      </c>
      <c r="D68" s="1">
        <v>75</v>
      </c>
      <c r="E68" s="1" t="s">
        <v>237</v>
      </c>
      <c r="F68" t="str">
        <f>VLOOKUP(A68,Type!$A$1:$C$132,3,0)</f>
        <v>CO0121900</v>
      </c>
      <c r="G68" t="str">
        <f>VLOOKUP(A68,Type!$A$1:$B$132,2,0)</f>
        <v>PWS and Other</v>
      </c>
      <c r="H68" s="1">
        <v>38.736049999999999</v>
      </c>
      <c r="I68" s="1">
        <v>-104.72901400000001</v>
      </c>
      <c r="J68" s="10">
        <v>36</v>
      </c>
      <c r="K68" s="10">
        <v>12</v>
      </c>
      <c r="L68" s="10">
        <v>65</v>
      </c>
      <c r="M68" s="10">
        <v>0</v>
      </c>
      <c r="N68" s="10">
        <v>20</v>
      </c>
      <c r="O68" s="10">
        <v>78</v>
      </c>
    </row>
    <row r="69" spans="1:15" ht="12.75" x14ac:dyDescent="0.2">
      <c r="A69" s="1" t="s">
        <v>214</v>
      </c>
      <c r="B69" s="2">
        <v>42410</v>
      </c>
      <c r="C69" s="1" t="s">
        <v>215</v>
      </c>
      <c r="D69" s="1">
        <v>68</v>
      </c>
      <c r="E69" s="1" t="s">
        <v>216</v>
      </c>
      <c r="F69" t="str">
        <f>VLOOKUP(A69,Type!$A$1:$C$132,3,0)</f>
        <v>CO0121900</v>
      </c>
      <c r="G69" t="str">
        <f>VLOOKUP(A69,Type!$A$1:$B$132,2,0)</f>
        <v>PWS and Other</v>
      </c>
      <c r="H69" s="1">
        <v>38.736887000000003</v>
      </c>
      <c r="I69" s="1">
        <v>-104.72972799999999</v>
      </c>
      <c r="J69" s="10"/>
      <c r="K69" s="10"/>
      <c r="L69" s="10"/>
      <c r="M69" s="10"/>
      <c r="N69" s="10">
        <v>26</v>
      </c>
      <c r="O69" s="10">
        <v>72</v>
      </c>
    </row>
    <row r="70" spans="1:15" ht="12.75" x14ac:dyDescent="0.2">
      <c r="A70" s="1" t="s">
        <v>145</v>
      </c>
      <c r="B70" s="2">
        <v>42466</v>
      </c>
      <c r="C70" s="1" t="s">
        <v>146</v>
      </c>
      <c r="D70" s="1">
        <v>45</v>
      </c>
      <c r="E70" s="1" t="s">
        <v>147</v>
      </c>
      <c r="F70" t="str">
        <f>VLOOKUP(A70,Type!$A$1:$C$132,3,0)</f>
        <v>CO0121775</v>
      </c>
      <c r="G70" t="str">
        <f>VLOOKUP(A70,Type!$A$1:$B$132,2,0)</f>
        <v>PWS and Other</v>
      </c>
      <c r="H70" s="1">
        <v>38.737392</v>
      </c>
      <c r="I70" s="1">
        <v>-104.730301</v>
      </c>
      <c r="J70" s="10">
        <v>52</v>
      </c>
      <c r="K70" s="10">
        <v>18</v>
      </c>
      <c r="L70" s="10">
        <v>140</v>
      </c>
      <c r="M70" s="10">
        <v>0</v>
      </c>
      <c r="N70" s="10">
        <v>29</v>
      </c>
      <c r="O70" s="10">
        <v>120</v>
      </c>
    </row>
    <row r="71" spans="1:15" ht="12.75" x14ac:dyDescent="0.2">
      <c r="A71" s="1" t="s">
        <v>217</v>
      </c>
      <c r="B71" s="2">
        <v>42492</v>
      </c>
      <c r="C71" s="1" t="s">
        <v>218</v>
      </c>
      <c r="D71" s="1">
        <v>69</v>
      </c>
      <c r="E71" s="1" t="s">
        <v>219</v>
      </c>
      <c r="F71" t="str">
        <f>VLOOKUP(A71,Type!$A$1:$C$132,3,0)</f>
        <v>CO0121900</v>
      </c>
      <c r="G71" t="str">
        <f>VLOOKUP(A71,Type!$A$1:$B$132,2,0)</f>
        <v>PWS and Other</v>
      </c>
      <c r="H71" s="1">
        <v>38.733888999999998</v>
      </c>
      <c r="I71" s="1">
        <v>-104.730833</v>
      </c>
      <c r="J71" s="10">
        <v>64</v>
      </c>
      <c r="K71" s="10">
        <v>23</v>
      </c>
      <c r="L71" s="10">
        <v>320</v>
      </c>
      <c r="M71" s="10">
        <v>0</v>
      </c>
      <c r="N71" s="10">
        <v>48</v>
      </c>
      <c r="O71" s="10">
        <v>90</v>
      </c>
    </row>
    <row r="72" spans="1:15" ht="12.75" x14ac:dyDescent="0.2">
      <c r="A72" s="1" t="s">
        <v>268</v>
      </c>
      <c r="B72" s="2">
        <v>42548</v>
      </c>
      <c r="C72" s="1" t="s">
        <v>269</v>
      </c>
      <c r="D72" s="1">
        <v>86</v>
      </c>
      <c r="E72" s="1" t="s">
        <v>270</v>
      </c>
      <c r="G72" t="str">
        <f>VLOOKUP(A72,Type!$A$1:$B$132,2,0)</f>
        <v>Private Well</v>
      </c>
      <c r="H72" s="1">
        <v>38.73601</v>
      </c>
      <c r="I72" s="1">
        <v>-104.73087700000001</v>
      </c>
      <c r="J72" s="10">
        <v>67</v>
      </c>
      <c r="K72" s="10">
        <v>33</v>
      </c>
      <c r="L72" s="10">
        <v>300</v>
      </c>
      <c r="M72" s="10">
        <v>0</v>
      </c>
      <c r="N72" s="10">
        <v>66</v>
      </c>
      <c r="O72" s="10">
        <v>81</v>
      </c>
    </row>
    <row r="73" spans="1:15" ht="12.75" x14ac:dyDescent="0.2">
      <c r="A73" s="1" t="s">
        <v>211</v>
      </c>
      <c r="B73" s="2">
        <v>42507</v>
      </c>
      <c r="C73" s="1" t="s">
        <v>212</v>
      </c>
      <c r="D73" s="1">
        <v>67</v>
      </c>
      <c r="E73" s="1" t="s">
        <v>213</v>
      </c>
      <c r="F73" t="str">
        <f>VLOOKUP(A73,Type!$A$1:$C$132,3,0)</f>
        <v>CO0121900</v>
      </c>
      <c r="G73" t="str">
        <f>VLOOKUP(A73,Type!$A$1:$B$132,2,0)</f>
        <v>PWS and Other</v>
      </c>
      <c r="H73" s="1">
        <v>38.755580000000002</v>
      </c>
      <c r="I73" s="1">
        <v>-104.7311667</v>
      </c>
      <c r="J73" s="10">
        <v>110</v>
      </c>
      <c r="K73" s="10">
        <v>39</v>
      </c>
      <c r="L73" s="10">
        <v>200</v>
      </c>
      <c r="M73" s="10">
        <v>6.2</v>
      </c>
      <c r="N73" s="10">
        <v>41</v>
      </c>
      <c r="O73" s="10">
        <v>320</v>
      </c>
    </row>
    <row r="74" spans="1:15" ht="12.75" x14ac:dyDescent="0.2">
      <c r="A74" s="1" t="s">
        <v>229</v>
      </c>
      <c r="B74" s="2">
        <v>42594</v>
      </c>
      <c r="C74" s="1" t="s">
        <v>230</v>
      </c>
      <c r="D74" s="1">
        <v>73</v>
      </c>
      <c r="E74" s="1" t="s">
        <v>231</v>
      </c>
      <c r="F74" t="str">
        <f>VLOOKUP(A74,Type!$A$1:$C$132,3,0)</f>
        <v>CO0121900</v>
      </c>
      <c r="G74" t="str">
        <f>VLOOKUP(A74,Type!$A$1:$B$132,2,0)</f>
        <v>PWS and Other</v>
      </c>
      <c r="H74" s="1">
        <v>38.732413000000001</v>
      </c>
      <c r="I74" s="1">
        <v>-104.731762</v>
      </c>
      <c r="J74" s="10">
        <v>83</v>
      </c>
      <c r="K74" s="10">
        <v>21</v>
      </c>
      <c r="L74" s="10">
        <v>350</v>
      </c>
      <c r="M74" s="10">
        <v>0</v>
      </c>
      <c r="N74" s="10">
        <v>39</v>
      </c>
      <c r="O74" s="10">
        <v>71</v>
      </c>
    </row>
    <row r="75" spans="1:15" ht="12.75" x14ac:dyDescent="0.2">
      <c r="A75" s="1" t="s">
        <v>286</v>
      </c>
      <c r="B75" s="2">
        <v>41778</v>
      </c>
      <c r="C75" s="1" t="s">
        <v>287</v>
      </c>
      <c r="D75" s="1">
        <v>92</v>
      </c>
      <c r="E75" s="1" t="s">
        <v>288</v>
      </c>
      <c r="F75" t="str">
        <f>VLOOKUP(A75,Type!$A$1:$C$132,3,0)</f>
        <v>CO0121900</v>
      </c>
      <c r="G75" t="str">
        <f>VLOOKUP(A75,Type!$A$1:$B$132,2,0)</f>
        <v>PWS and Other</v>
      </c>
      <c r="H75" s="1">
        <v>38.735447999999998</v>
      </c>
      <c r="I75" s="1">
        <v>-104.731835</v>
      </c>
      <c r="J75" s="10">
        <v>0</v>
      </c>
      <c r="K75" s="10">
        <v>24</v>
      </c>
      <c r="L75" s="10">
        <v>330</v>
      </c>
      <c r="M75" s="10">
        <v>0</v>
      </c>
      <c r="N75" s="10">
        <v>45</v>
      </c>
      <c r="O75" s="10">
        <v>51</v>
      </c>
    </row>
    <row r="76" spans="1:15" ht="12.75" x14ac:dyDescent="0.2">
      <c r="A76" s="1" t="s">
        <v>181</v>
      </c>
      <c r="B76" s="2">
        <v>42481</v>
      </c>
      <c r="C76" s="1" t="s">
        <v>182</v>
      </c>
      <c r="D76" s="1">
        <v>57</v>
      </c>
      <c r="E76" s="1" t="s">
        <v>183</v>
      </c>
      <c r="F76" t="str">
        <f>VLOOKUP(A76,Type!$A$1:$C$132,3,0)</f>
        <v>CO0121775</v>
      </c>
      <c r="G76" t="str">
        <f>VLOOKUP(A76,Type!$A$1:$B$132,2,0)</f>
        <v>PWS and Other</v>
      </c>
      <c r="H76" s="1">
        <v>38.739167000000002</v>
      </c>
      <c r="I76" s="1">
        <v>-104.731944</v>
      </c>
      <c r="J76" s="10">
        <v>54</v>
      </c>
      <c r="K76" s="10">
        <v>21</v>
      </c>
      <c r="L76" s="10">
        <v>200</v>
      </c>
      <c r="M76" s="10">
        <v>0</v>
      </c>
      <c r="N76" s="10">
        <v>47</v>
      </c>
      <c r="O76" s="10">
        <v>74</v>
      </c>
    </row>
    <row r="77" spans="1:15" ht="12.75" x14ac:dyDescent="0.2">
      <c r="A77" s="1" t="s">
        <v>142</v>
      </c>
      <c r="B77" s="2">
        <v>42466</v>
      </c>
      <c r="C77" s="1" t="s">
        <v>143</v>
      </c>
      <c r="D77" s="1">
        <v>44</v>
      </c>
      <c r="E77" s="1" t="s">
        <v>144</v>
      </c>
      <c r="F77" t="str">
        <f>VLOOKUP(A77,Type!$A$1:$C$132,3,0)</f>
        <v>CO0121775</v>
      </c>
      <c r="G77" t="str">
        <f>VLOOKUP(A77,Type!$A$1:$B$132,2,0)</f>
        <v>PWS and Other</v>
      </c>
      <c r="H77" s="1">
        <v>38.737777999999999</v>
      </c>
      <c r="I77" s="1">
        <v>-104.73222199999999</v>
      </c>
      <c r="J77" s="10">
        <v>90</v>
      </c>
      <c r="K77" s="10">
        <v>24</v>
      </c>
      <c r="L77" s="10">
        <v>370</v>
      </c>
      <c r="M77" s="10">
        <v>0</v>
      </c>
      <c r="N77" s="10">
        <v>52</v>
      </c>
      <c r="O77" s="10">
        <v>73</v>
      </c>
    </row>
    <row r="78" spans="1:15" ht="12.75" x14ac:dyDescent="0.2">
      <c r="A78" s="1" t="s">
        <v>301</v>
      </c>
      <c r="B78" s="2">
        <v>42580</v>
      </c>
      <c r="C78" s="1" t="s">
        <v>302</v>
      </c>
      <c r="D78" s="1">
        <v>97</v>
      </c>
      <c r="E78" s="1" t="s">
        <v>303</v>
      </c>
      <c r="G78" t="str">
        <f>VLOOKUP(A78,Type!$A$1:$B$132,2,0)</f>
        <v>Private Well</v>
      </c>
      <c r="H78" s="1">
        <v>38.733637999999999</v>
      </c>
      <c r="I78" s="1">
        <v>-104.73278500000001</v>
      </c>
      <c r="J78" s="10">
        <v>160</v>
      </c>
      <c r="K78" s="10">
        <v>40</v>
      </c>
      <c r="L78" s="10">
        <v>580</v>
      </c>
      <c r="M78" s="10">
        <v>0</v>
      </c>
      <c r="N78" s="10">
        <v>67</v>
      </c>
      <c r="O78" s="10">
        <v>100</v>
      </c>
    </row>
    <row r="79" spans="1:15" ht="12.75" x14ac:dyDescent="0.2">
      <c r="A79" s="1" t="s">
        <v>139</v>
      </c>
      <c r="B79" s="2">
        <v>42466</v>
      </c>
      <c r="C79" s="1" t="s">
        <v>140</v>
      </c>
      <c r="D79" s="1">
        <v>43</v>
      </c>
      <c r="E79" s="1" t="s">
        <v>141</v>
      </c>
      <c r="F79" t="str">
        <f>VLOOKUP(A79,Type!$A$1:$C$132,3,0)</f>
        <v>CO0121775</v>
      </c>
      <c r="G79" t="str">
        <f>VLOOKUP(A79,Type!$A$1:$B$132,2,0)</f>
        <v>PWS and Other</v>
      </c>
      <c r="H79" s="1">
        <v>38.740833000000002</v>
      </c>
      <c r="I79" s="1">
        <v>-104.735</v>
      </c>
      <c r="J79" s="10">
        <v>110</v>
      </c>
      <c r="K79" s="10">
        <v>23</v>
      </c>
      <c r="L79" s="10">
        <v>420</v>
      </c>
      <c r="M79" s="10">
        <v>0</v>
      </c>
      <c r="N79" s="10">
        <v>45</v>
      </c>
      <c r="O79" s="10">
        <v>72</v>
      </c>
    </row>
    <row r="80" spans="1:15" ht="12.75" x14ac:dyDescent="0.2">
      <c r="A80" s="1" t="s">
        <v>166</v>
      </c>
      <c r="B80" s="2">
        <v>42466</v>
      </c>
      <c r="C80" s="1" t="s">
        <v>167</v>
      </c>
      <c r="D80" s="1">
        <v>52</v>
      </c>
      <c r="E80" s="1" t="s">
        <v>168</v>
      </c>
      <c r="F80" t="str">
        <f>VLOOKUP(A80,Type!$A$1:$C$132,3,0)</f>
        <v>CO0121775</v>
      </c>
      <c r="G80" t="str">
        <f>VLOOKUP(A80,Type!$A$1:$B$132,2,0)</f>
        <v>PWS and Other</v>
      </c>
      <c r="H80" s="1">
        <v>38.744580999999997</v>
      </c>
      <c r="I80" s="1">
        <v>-104.73671</v>
      </c>
      <c r="J80" s="10">
        <v>78</v>
      </c>
      <c r="K80" s="10">
        <v>23</v>
      </c>
      <c r="L80" s="10">
        <v>370</v>
      </c>
      <c r="M80" s="10">
        <v>0</v>
      </c>
      <c r="N80" s="10">
        <v>52</v>
      </c>
      <c r="O80" s="10">
        <v>83</v>
      </c>
    </row>
    <row r="81" spans="1:15" ht="12.75" x14ac:dyDescent="0.2">
      <c r="A81" s="1" t="s">
        <v>127</v>
      </c>
      <c r="B81" s="2">
        <v>42471</v>
      </c>
      <c r="C81" s="1" t="s">
        <v>128</v>
      </c>
      <c r="D81" s="1">
        <v>39</v>
      </c>
      <c r="E81" s="1" t="s">
        <v>129</v>
      </c>
      <c r="F81" t="str">
        <f>VLOOKUP(A81,Type!$A$1:$C$132,3,0)</f>
        <v>CO0121775</v>
      </c>
      <c r="G81" t="str">
        <f>VLOOKUP(A81,Type!$A$1:$B$132,2,0)</f>
        <v>PWS and Other</v>
      </c>
      <c r="H81" s="1">
        <v>38.746667000000002</v>
      </c>
      <c r="I81" s="1">
        <v>-104.7375</v>
      </c>
      <c r="J81" s="10">
        <v>52</v>
      </c>
      <c r="K81" s="10">
        <v>27</v>
      </c>
      <c r="L81" s="10">
        <v>260</v>
      </c>
      <c r="M81" s="10">
        <v>0</v>
      </c>
      <c r="N81" s="10">
        <v>56</v>
      </c>
      <c r="O81" s="10">
        <v>65</v>
      </c>
    </row>
    <row r="82" spans="1:15" ht="12.75" x14ac:dyDescent="0.2">
      <c r="A82" s="1" t="s">
        <v>52</v>
      </c>
      <c r="B82" s="2">
        <v>42494</v>
      </c>
      <c r="C82" s="1" t="s">
        <v>53</v>
      </c>
      <c r="D82" s="1">
        <v>14</v>
      </c>
      <c r="E82" s="1" t="s">
        <v>54</v>
      </c>
      <c r="G82" t="str">
        <f>VLOOKUP(A82,Type!$A$1:$B$132,2,0)</f>
        <v>PWS and Other</v>
      </c>
      <c r="H82" s="1">
        <v>38.778542000000002</v>
      </c>
      <c r="I82" s="1">
        <v>-104.738039</v>
      </c>
      <c r="J82" s="10">
        <v>21</v>
      </c>
      <c r="K82" s="10">
        <v>0</v>
      </c>
      <c r="L82" s="10">
        <v>6.9</v>
      </c>
      <c r="M82" s="10">
        <v>0</v>
      </c>
      <c r="N82" s="10">
        <v>0</v>
      </c>
      <c r="O82" s="10">
        <v>0</v>
      </c>
    </row>
    <row r="83" spans="1:15" ht="12.75" x14ac:dyDescent="0.2">
      <c r="A83" s="1" t="s">
        <v>169</v>
      </c>
      <c r="B83" s="2">
        <v>42481</v>
      </c>
      <c r="C83" s="1" t="s">
        <v>170</v>
      </c>
      <c r="D83" s="1">
        <v>53</v>
      </c>
      <c r="E83" s="1" t="s">
        <v>171</v>
      </c>
      <c r="F83" t="str">
        <f>VLOOKUP(A83,Type!$A$1:$C$132,3,0)</f>
        <v>CO0121775</v>
      </c>
      <c r="G83" t="str">
        <f>VLOOKUP(A83,Type!$A$1:$B$132,2,0)</f>
        <v>PWS and Other</v>
      </c>
      <c r="H83" s="1">
        <v>38.749622000000002</v>
      </c>
      <c r="I83" s="1">
        <v>-104.740971</v>
      </c>
      <c r="J83" s="10">
        <v>62</v>
      </c>
      <c r="K83" s="10">
        <v>35</v>
      </c>
      <c r="L83" s="10">
        <v>380</v>
      </c>
      <c r="M83" s="10">
        <v>0</v>
      </c>
      <c r="N83" s="10">
        <v>87</v>
      </c>
      <c r="O83" s="10">
        <v>61</v>
      </c>
    </row>
    <row r="84" spans="1:15" ht="12.75" x14ac:dyDescent="0.2">
      <c r="A84" s="1" t="s">
        <v>130</v>
      </c>
      <c r="B84" s="2">
        <v>42507</v>
      </c>
      <c r="C84" s="1" t="s">
        <v>131</v>
      </c>
      <c r="D84" s="1">
        <v>40</v>
      </c>
      <c r="E84" s="1" t="s">
        <v>132</v>
      </c>
      <c r="F84" t="str">
        <f>VLOOKUP(A84,Type!$A$1:$C$132,3,0)</f>
        <v>CO0121750</v>
      </c>
      <c r="G84" t="str">
        <f>VLOOKUP(A84,Type!$A$1:$B$132,2,0)</f>
        <v>PWS and Other</v>
      </c>
      <c r="H84" s="1">
        <v>38.747957999999997</v>
      </c>
      <c r="I84" s="1">
        <v>-104.74154</v>
      </c>
      <c r="J84" s="10">
        <v>180</v>
      </c>
      <c r="K84" s="10">
        <v>42</v>
      </c>
      <c r="L84" s="10">
        <v>560</v>
      </c>
      <c r="M84" s="10">
        <v>5.3</v>
      </c>
      <c r="N84" s="10">
        <v>62</v>
      </c>
      <c r="O84" s="10">
        <v>130</v>
      </c>
    </row>
    <row r="85" spans="1:15" ht="12.75" x14ac:dyDescent="0.2">
      <c r="A85" s="1" t="s">
        <v>133</v>
      </c>
      <c r="B85" s="2">
        <v>42507</v>
      </c>
      <c r="C85" s="1" t="s">
        <v>134</v>
      </c>
      <c r="D85" s="1">
        <v>41</v>
      </c>
      <c r="E85" s="1" t="s">
        <v>135</v>
      </c>
      <c r="F85" t="str">
        <f>VLOOKUP(A85,Type!$A$1:$C$132,3,0)</f>
        <v>CO0121750</v>
      </c>
      <c r="G85" t="str">
        <f>VLOOKUP(A85,Type!$A$1:$B$132,2,0)</f>
        <v>PWS and Other</v>
      </c>
      <c r="H85" s="1">
        <v>38.747953000000003</v>
      </c>
      <c r="I85" s="1">
        <v>-104.741607</v>
      </c>
      <c r="J85" s="10">
        <v>200</v>
      </c>
      <c r="K85" s="10">
        <v>50</v>
      </c>
      <c r="L85" s="10">
        <v>670</v>
      </c>
      <c r="M85" s="10">
        <v>5.4</v>
      </c>
      <c r="N85" s="10">
        <v>71</v>
      </c>
      <c r="O85" s="10">
        <v>170</v>
      </c>
    </row>
    <row r="86" spans="1:15" ht="12.75" x14ac:dyDescent="0.2">
      <c r="A86" s="1" t="s">
        <v>136</v>
      </c>
      <c r="B86" s="2">
        <v>42419</v>
      </c>
      <c r="C86" s="1" t="s">
        <v>137</v>
      </c>
      <c r="D86" s="1">
        <v>42</v>
      </c>
      <c r="E86" s="1" t="s">
        <v>138</v>
      </c>
      <c r="F86" t="str">
        <f>VLOOKUP(A86,Type!$A$1:$C$132,3,0)</f>
        <v>CO0121750</v>
      </c>
      <c r="G86" t="str">
        <f>VLOOKUP(A86,Type!$A$1:$B$132,2,0)</f>
        <v>PWS and Other</v>
      </c>
      <c r="H86" s="1">
        <v>38.747953000000003</v>
      </c>
      <c r="I86" s="1">
        <v>-104.741607</v>
      </c>
      <c r="J86" s="10">
        <v>110</v>
      </c>
      <c r="K86" s="10">
        <v>17</v>
      </c>
      <c r="L86" s="10">
        <v>380</v>
      </c>
      <c r="M86" s="10">
        <v>0</v>
      </c>
      <c r="N86" s="10">
        <v>33</v>
      </c>
      <c r="O86" s="10">
        <v>70</v>
      </c>
    </row>
    <row r="87" spans="1:15" ht="12.75" x14ac:dyDescent="0.2">
      <c r="A87" s="1" t="s">
        <v>163</v>
      </c>
      <c r="B87" s="2">
        <v>42466</v>
      </c>
      <c r="C87" s="1" t="s">
        <v>164</v>
      </c>
      <c r="D87" s="1">
        <v>51</v>
      </c>
      <c r="E87" s="1" t="s">
        <v>165</v>
      </c>
      <c r="F87" t="str">
        <f>VLOOKUP(A87,Type!$A$1:$C$132,3,0)</f>
        <v>CO0121775</v>
      </c>
      <c r="G87" t="str">
        <f>VLOOKUP(A87,Type!$A$1:$B$132,2,0)</f>
        <v>PWS and Other</v>
      </c>
      <c r="H87" s="1">
        <v>38.749845000000001</v>
      </c>
      <c r="I87" s="1">
        <v>-104.74178000000001</v>
      </c>
      <c r="J87" s="10">
        <v>79</v>
      </c>
      <c r="K87" s="10">
        <v>36</v>
      </c>
      <c r="L87" s="10">
        <v>480</v>
      </c>
      <c r="M87" s="10">
        <v>0</v>
      </c>
      <c r="N87" s="10">
        <v>85</v>
      </c>
      <c r="O87" s="10">
        <v>77</v>
      </c>
    </row>
    <row r="88" spans="1:15" ht="12.75" x14ac:dyDescent="0.2">
      <c r="A88" s="1" t="s">
        <v>283</v>
      </c>
      <c r="B88" s="2">
        <v>42460</v>
      </c>
      <c r="C88" s="1" t="s">
        <v>284</v>
      </c>
      <c r="D88" s="1">
        <v>91</v>
      </c>
      <c r="E88" s="1" t="s">
        <v>285</v>
      </c>
      <c r="F88" t="str">
        <f>VLOOKUP(A88,Type!$A$1:$C$132,3,0)</f>
        <v>CO0121500</v>
      </c>
      <c r="G88" t="str">
        <f>VLOOKUP(A88,Type!$A$1:$B$132,2,0)</f>
        <v>PWS and Other</v>
      </c>
      <c r="H88" s="1">
        <v>38.747999999999998</v>
      </c>
      <c r="I88" s="1">
        <v>-104.7428</v>
      </c>
      <c r="J88" s="10">
        <v>230</v>
      </c>
      <c r="K88" s="10">
        <v>44</v>
      </c>
      <c r="L88" s="10">
        <v>740</v>
      </c>
      <c r="M88" s="10">
        <v>0</v>
      </c>
      <c r="N88" s="10">
        <v>63</v>
      </c>
      <c r="O88" s="10">
        <v>140</v>
      </c>
    </row>
    <row r="89" spans="1:15" ht="12.75" x14ac:dyDescent="0.2">
      <c r="A89" s="1" t="s">
        <v>160</v>
      </c>
      <c r="B89" s="2">
        <v>42466</v>
      </c>
      <c r="C89" s="1" t="s">
        <v>161</v>
      </c>
      <c r="D89" s="1">
        <v>50</v>
      </c>
      <c r="E89" s="1" t="s">
        <v>162</v>
      </c>
      <c r="F89" t="str">
        <f>VLOOKUP(A89,Type!$A$1:$C$132,3,0)</f>
        <v>CO0121775</v>
      </c>
      <c r="G89" t="str">
        <f>VLOOKUP(A89,Type!$A$1:$B$132,2,0)</f>
        <v>PWS and Other</v>
      </c>
      <c r="H89" s="1">
        <v>38.752049999999997</v>
      </c>
      <c r="I89" s="1">
        <v>-104.743776</v>
      </c>
      <c r="J89" s="10">
        <v>51</v>
      </c>
      <c r="K89" s="10">
        <v>32</v>
      </c>
      <c r="L89" s="10">
        <v>320</v>
      </c>
      <c r="M89" s="10">
        <v>0</v>
      </c>
      <c r="N89" s="10">
        <v>86</v>
      </c>
      <c r="O89" s="10">
        <v>50</v>
      </c>
    </row>
    <row r="90" spans="1:15" ht="12.75" x14ac:dyDescent="0.2">
      <c r="A90" s="1" t="s">
        <v>31</v>
      </c>
      <c r="B90" s="2">
        <v>42507</v>
      </c>
      <c r="C90" s="1" t="s">
        <v>32</v>
      </c>
      <c r="D90" s="1">
        <v>7</v>
      </c>
      <c r="E90" s="1" t="s">
        <v>33</v>
      </c>
      <c r="F90" t="str">
        <f>VLOOKUP(A90,Type!$A$1:$C$132,3,0)</f>
        <v>CO0221440</v>
      </c>
      <c r="G90" t="str">
        <f>VLOOKUP(A90,Type!$A$1:$B$132,2,0)</f>
        <v>PWS and Other</v>
      </c>
      <c r="H90" s="1">
        <v>38.751666</v>
      </c>
      <c r="I90" s="1">
        <v>-104.745277</v>
      </c>
      <c r="J90" s="10">
        <v>150</v>
      </c>
      <c r="K90" s="10">
        <v>42</v>
      </c>
      <c r="L90" s="10">
        <v>510</v>
      </c>
      <c r="M90" s="10">
        <v>5.6</v>
      </c>
      <c r="N90" s="10">
        <v>73</v>
      </c>
      <c r="O90" s="10">
        <v>140</v>
      </c>
    </row>
    <row r="91" spans="1:15" ht="12.75" x14ac:dyDescent="0.2">
      <c r="A91" s="1" t="s">
        <v>178</v>
      </c>
      <c r="B91" s="2">
        <v>42466</v>
      </c>
      <c r="C91" s="1" t="s">
        <v>179</v>
      </c>
      <c r="D91" s="1">
        <v>56</v>
      </c>
      <c r="E91" s="1" t="s">
        <v>180</v>
      </c>
      <c r="F91" t="str">
        <f>VLOOKUP(A91,Type!$A$1:$C$132,3,0)</f>
        <v>CO0121775</v>
      </c>
      <c r="G91" t="str">
        <f>VLOOKUP(A91,Type!$A$1:$B$132,2,0)</f>
        <v>PWS and Other</v>
      </c>
      <c r="H91" s="1">
        <v>38.754545999999998</v>
      </c>
      <c r="I91" s="1">
        <v>-104.74604100000001</v>
      </c>
      <c r="J91" s="10">
        <v>38</v>
      </c>
      <c r="K91" s="10">
        <v>22</v>
      </c>
      <c r="L91" s="10">
        <v>200</v>
      </c>
      <c r="M91" s="10">
        <v>0</v>
      </c>
      <c r="N91" s="10">
        <v>57</v>
      </c>
      <c r="O91" s="10">
        <v>46</v>
      </c>
    </row>
    <row r="92" spans="1:15" ht="12.75" x14ac:dyDescent="0.2">
      <c r="A92" s="1" t="s">
        <v>190</v>
      </c>
      <c r="B92" s="2">
        <v>42466</v>
      </c>
      <c r="C92" s="1" t="s">
        <v>191</v>
      </c>
      <c r="D92" s="1">
        <v>60</v>
      </c>
      <c r="E92" s="1" t="s">
        <v>192</v>
      </c>
      <c r="F92" t="str">
        <f>VLOOKUP(A92,Type!$A$1:$C$132,3,0)</f>
        <v>CO0121775</v>
      </c>
      <c r="G92" t="str">
        <f>VLOOKUP(A92,Type!$A$1:$B$132,2,0)</f>
        <v>PWS and Other</v>
      </c>
      <c r="H92" s="1">
        <v>38.752848</v>
      </c>
      <c r="I92" s="1">
        <v>-104.746084</v>
      </c>
      <c r="J92" s="10">
        <v>74</v>
      </c>
      <c r="K92" s="10">
        <v>36</v>
      </c>
      <c r="L92" s="10">
        <v>430</v>
      </c>
      <c r="M92" s="10">
        <v>0</v>
      </c>
      <c r="N92" s="10">
        <v>87</v>
      </c>
      <c r="O92" s="10">
        <v>98</v>
      </c>
    </row>
    <row r="93" spans="1:15" ht="12.75" x14ac:dyDescent="0.2">
      <c r="A93" s="1" t="s">
        <v>193</v>
      </c>
      <c r="B93" s="2">
        <v>42466</v>
      </c>
      <c r="C93" s="1" t="s">
        <v>194</v>
      </c>
      <c r="D93" s="1">
        <v>61</v>
      </c>
      <c r="E93" s="1" t="s">
        <v>195</v>
      </c>
      <c r="F93" t="str">
        <f>VLOOKUP(A93,Type!$A$1:$C$132,3,0)</f>
        <v>CO0121775</v>
      </c>
      <c r="G93" t="str">
        <f>VLOOKUP(A93,Type!$A$1:$B$132,2,0)</f>
        <v>PWS and Other</v>
      </c>
      <c r="H93" s="1">
        <v>38.754167000000002</v>
      </c>
      <c r="I93" s="1">
        <v>-104.74730700000001</v>
      </c>
      <c r="J93" s="10">
        <v>54</v>
      </c>
      <c r="K93" s="10">
        <v>28</v>
      </c>
      <c r="L93" s="10">
        <v>320</v>
      </c>
      <c r="M93" s="10">
        <v>0</v>
      </c>
      <c r="N93" s="10">
        <v>81</v>
      </c>
      <c r="O93" s="10">
        <v>72</v>
      </c>
    </row>
    <row r="94" spans="1:15" ht="12.75" x14ac:dyDescent="0.2">
      <c r="A94" s="1" t="s">
        <v>172</v>
      </c>
      <c r="B94" s="2">
        <v>42466</v>
      </c>
      <c r="C94" s="1" t="s">
        <v>173</v>
      </c>
      <c r="D94" s="1">
        <v>54</v>
      </c>
      <c r="E94" s="1" t="s">
        <v>174</v>
      </c>
      <c r="F94" t="str">
        <f>VLOOKUP(A94,Type!$A$1:$C$132,3,0)</f>
        <v>CO0121775</v>
      </c>
      <c r="G94" t="str">
        <f>VLOOKUP(A94,Type!$A$1:$B$132,2,0)</f>
        <v>PWS and Other</v>
      </c>
      <c r="H94" s="1">
        <v>38.756850999999997</v>
      </c>
      <c r="I94" s="1">
        <v>-104.748227</v>
      </c>
      <c r="J94" s="10">
        <v>42</v>
      </c>
      <c r="K94" s="10">
        <v>18</v>
      </c>
      <c r="L94" s="10">
        <v>150</v>
      </c>
      <c r="M94" s="10">
        <v>0</v>
      </c>
      <c r="N94" s="10">
        <v>31</v>
      </c>
      <c r="O94" s="10">
        <v>86</v>
      </c>
    </row>
    <row r="95" spans="1:15" ht="12.75" x14ac:dyDescent="0.2">
      <c r="A95" s="1" t="s">
        <v>187</v>
      </c>
      <c r="B95" s="2">
        <v>42466</v>
      </c>
      <c r="C95" s="1" t="s">
        <v>188</v>
      </c>
      <c r="D95" s="1">
        <v>59</v>
      </c>
      <c r="E95" s="1" t="s">
        <v>189</v>
      </c>
      <c r="F95" t="str">
        <f>VLOOKUP(A95,Type!$A$1:$C$132,3,0)</f>
        <v>CO0121775</v>
      </c>
      <c r="G95" t="str">
        <f>VLOOKUP(A95,Type!$A$1:$B$132,2,0)</f>
        <v>PWS and Other</v>
      </c>
      <c r="H95" s="1">
        <v>38.755468</v>
      </c>
      <c r="I95" s="1">
        <v>-104.748796</v>
      </c>
      <c r="J95" s="10">
        <v>46</v>
      </c>
      <c r="K95" s="10">
        <v>27</v>
      </c>
      <c r="L95" s="10">
        <v>280</v>
      </c>
      <c r="M95" s="10">
        <v>0</v>
      </c>
      <c r="N95" s="10">
        <v>79</v>
      </c>
      <c r="O95" s="10">
        <v>54</v>
      </c>
    </row>
    <row r="96" spans="1:15" ht="12.75" x14ac:dyDescent="0.2">
      <c r="A96" s="1" t="s">
        <v>184</v>
      </c>
      <c r="B96" s="2">
        <v>42466</v>
      </c>
      <c r="C96" s="1" t="s">
        <v>185</v>
      </c>
      <c r="D96" s="1">
        <v>58</v>
      </c>
      <c r="E96" s="1" t="s">
        <v>186</v>
      </c>
      <c r="F96" t="str">
        <f>VLOOKUP(A96,Type!$A$1:$C$132,3,0)</f>
        <v>CO0121775</v>
      </c>
      <c r="G96" t="str">
        <f>VLOOKUP(A96,Type!$A$1:$B$132,2,0)</f>
        <v>PWS and Other</v>
      </c>
      <c r="H96" s="1">
        <v>38.754966000000003</v>
      </c>
      <c r="I96" s="1">
        <v>-104.74902</v>
      </c>
      <c r="J96" s="10">
        <v>63</v>
      </c>
      <c r="K96" s="10">
        <v>27</v>
      </c>
      <c r="L96" s="10">
        <v>360</v>
      </c>
      <c r="M96" s="10">
        <v>0</v>
      </c>
      <c r="N96" s="10">
        <v>76</v>
      </c>
      <c r="O96" s="10">
        <v>99</v>
      </c>
    </row>
    <row r="97" spans="1:15" ht="12.75" x14ac:dyDescent="0.2">
      <c r="A97" s="1" t="s">
        <v>292</v>
      </c>
      <c r="B97" s="2">
        <v>42549</v>
      </c>
      <c r="C97" s="1" t="s">
        <v>293</v>
      </c>
      <c r="D97" s="1">
        <v>94</v>
      </c>
      <c r="E97" s="1" t="s">
        <v>294</v>
      </c>
      <c r="F97" t="str">
        <f>VLOOKUP(A97,Type!$A$1:$C$132,3,0)</f>
        <v>CO0221806</v>
      </c>
      <c r="G97" t="str">
        <f>VLOOKUP(A97,Type!$A$1:$B$132,2,0)</f>
        <v>PWS and Other</v>
      </c>
      <c r="H97" s="1">
        <v>38.756270000000001</v>
      </c>
      <c r="I97" s="1">
        <v>-104.749443</v>
      </c>
      <c r="J97" s="10">
        <v>51</v>
      </c>
      <c r="K97" s="10">
        <v>32</v>
      </c>
      <c r="L97" s="10">
        <v>290</v>
      </c>
      <c r="M97" s="10">
        <v>0</v>
      </c>
      <c r="N97" s="10">
        <v>66</v>
      </c>
      <c r="O97" s="10">
        <v>49</v>
      </c>
    </row>
    <row r="98" spans="1:15" ht="12.75" x14ac:dyDescent="0.2">
      <c r="A98" s="1" t="s">
        <v>121</v>
      </c>
      <c r="B98" s="2">
        <v>42464</v>
      </c>
      <c r="C98" s="1" t="s">
        <v>122</v>
      </c>
      <c r="D98" s="1">
        <v>37</v>
      </c>
      <c r="E98" s="1" t="s">
        <v>123</v>
      </c>
      <c r="F98" t="str">
        <f>VLOOKUP(A98,Type!$A$1:$C$132,3,0)</f>
        <v>CO0221806</v>
      </c>
      <c r="G98" t="str">
        <f>VLOOKUP(A98,Type!$A$1:$B$132,2,0)</f>
        <v>PWS and Other</v>
      </c>
      <c r="H98" s="1">
        <v>38.756281000000001</v>
      </c>
      <c r="I98" s="1">
        <v>-104.74945700000001</v>
      </c>
      <c r="J98" s="10">
        <v>0</v>
      </c>
      <c r="K98" s="10">
        <v>44</v>
      </c>
      <c r="L98" s="10">
        <v>380</v>
      </c>
      <c r="M98" s="10">
        <v>0</v>
      </c>
      <c r="N98" s="10">
        <v>91</v>
      </c>
      <c r="O98" s="10">
        <v>70</v>
      </c>
    </row>
    <row r="99" spans="1:15" ht="12.75" x14ac:dyDescent="0.2">
      <c r="A99" s="1" t="s">
        <v>175</v>
      </c>
      <c r="B99" s="2">
        <v>42466</v>
      </c>
      <c r="C99" s="1" t="s">
        <v>176</v>
      </c>
      <c r="D99" s="1">
        <v>55</v>
      </c>
      <c r="E99" s="1" t="s">
        <v>177</v>
      </c>
      <c r="F99" t="str">
        <f>VLOOKUP(A99,Type!$A$1:$C$132,3,0)</f>
        <v>CO0121775</v>
      </c>
      <c r="G99" t="str">
        <f>VLOOKUP(A99,Type!$A$1:$B$132,2,0)</f>
        <v>PWS and Other</v>
      </c>
      <c r="H99" s="1">
        <v>38.757463000000001</v>
      </c>
      <c r="I99" s="1">
        <v>-104.749596</v>
      </c>
      <c r="J99" s="10">
        <v>45</v>
      </c>
      <c r="K99" s="10">
        <v>18</v>
      </c>
      <c r="L99" s="10">
        <v>160</v>
      </c>
      <c r="M99" s="10">
        <v>0</v>
      </c>
      <c r="N99" s="10">
        <v>32</v>
      </c>
      <c r="O99" s="10">
        <v>88</v>
      </c>
    </row>
    <row r="100" spans="1:15" ht="12.75" x14ac:dyDescent="0.2">
      <c r="A100" s="1" t="s">
        <v>265</v>
      </c>
      <c r="B100" s="2">
        <v>42516</v>
      </c>
      <c r="C100" s="1" t="s">
        <v>266</v>
      </c>
      <c r="D100" s="1">
        <v>85</v>
      </c>
      <c r="E100" s="1" t="s">
        <v>267</v>
      </c>
      <c r="G100" t="str">
        <f>VLOOKUP(A100,Type!$A$1:$B$132,2,0)</f>
        <v>Private Well</v>
      </c>
      <c r="H100" s="1">
        <v>38.770617000000001</v>
      </c>
      <c r="I100" s="1">
        <v>-104.7496167</v>
      </c>
      <c r="J100" s="10">
        <v>37</v>
      </c>
      <c r="K100" s="10">
        <v>15</v>
      </c>
      <c r="L100" s="10">
        <v>60</v>
      </c>
      <c r="M100" s="10">
        <v>0</v>
      </c>
      <c r="N100" s="10">
        <v>33</v>
      </c>
      <c r="O100" s="10">
        <v>27</v>
      </c>
    </row>
    <row r="101" spans="1:15" ht="12.75" x14ac:dyDescent="0.2">
      <c r="A101" s="1" t="s">
        <v>262</v>
      </c>
      <c r="B101" s="2">
        <v>42516</v>
      </c>
      <c r="C101" s="1" t="s">
        <v>263</v>
      </c>
      <c r="D101" s="1">
        <v>84</v>
      </c>
      <c r="E101" s="1" t="s">
        <v>264</v>
      </c>
      <c r="G101" t="str">
        <f>VLOOKUP(A101,Type!$A$1:$B$132,2,0)</f>
        <v>Private Well</v>
      </c>
      <c r="H101" s="1">
        <v>38.769717</v>
      </c>
      <c r="I101" s="1">
        <v>-104.7511667</v>
      </c>
      <c r="J101" s="10">
        <v>43</v>
      </c>
      <c r="K101" s="10">
        <v>12</v>
      </c>
      <c r="L101" s="10">
        <v>63</v>
      </c>
      <c r="M101" s="10">
        <v>0</v>
      </c>
      <c r="N101" s="10">
        <v>22</v>
      </c>
      <c r="O101" s="10">
        <v>61</v>
      </c>
    </row>
    <row r="102" spans="1:15" ht="12.75" x14ac:dyDescent="0.2">
      <c r="A102" s="1" t="s">
        <v>100</v>
      </c>
      <c r="B102" s="2">
        <v>42507</v>
      </c>
      <c r="C102" s="1" t="s">
        <v>101</v>
      </c>
      <c r="D102" s="1">
        <v>30</v>
      </c>
      <c r="E102" s="1" t="s">
        <v>102</v>
      </c>
      <c r="G102" t="str">
        <f>VLOOKUP(A102,Type!$A$1:$B$132,2,0)</f>
        <v>Private Well</v>
      </c>
      <c r="H102" s="1">
        <v>38.770820000000001</v>
      </c>
      <c r="I102" s="1">
        <v>-104.75239999999999</v>
      </c>
      <c r="J102" s="10">
        <v>72</v>
      </c>
      <c r="K102" s="10">
        <v>32</v>
      </c>
      <c r="L102" s="10">
        <v>160</v>
      </c>
      <c r="M102" s="10">
        <v>4.5999999999999996</v>
      </c>
      <c r="N102" s="10">
        <v>46</v>
      </c>
      <c r="O102" s="10">
        <v>330</v>
      </c>
    </row>
    <row r="103" spans="1:15" ht="12.75" x14ac:dyDescent="0.2">
      <c r="A103" s="1" t="s">
        <v>259</v>
      </c>
      <c r="B103" s="2">
        <v>42516</v>
      </c>
      <c r="C103" s="1" t="s">
        <v>260</v>
      </c>
      <c r="D103" s="1">
        <v>83</v>
      </c>
      <c r="E103" s="1" t="s">
        <v>261</v>
      </c>
      <c r="G103" t="str">
        <f>VLOOKUP(A103,Type!$A$1:$B$132,2,0)</f>
        <v>Private Well</v>
      </c>
      <c r="H103" s="1">
        <v>38.769717</v>
      </c>
      <c r="I103" s="1">
        <v>-104.7525667</v>
      </c>
      <c r="J103" s="10">
        <v>42</v>
      </c>
      <c r="K103" s="10">
        <v>31</v>
      </c>
      <c r="L103" s="10">
        <v>130</v>
      </c>
      <c r="M103" s="10">
        <v>0</v>
      </c>
      <c r="N103" s="10">
        <v>39</v>
      </c>
      <c r="O103" s="10">
        <v>260</v>
      </c>
    </row>
    <row r="104" spans="1:15" ht="12.75" x14ac:dyDescent="0.2">
      <c r="A104" s="1" t="s">
        <v>97</v>
      </c>
      <c r="B104" s="2">
        <v>42507</v>
      </c>
      <c r="C104" s="1" t="s">
        <v>98</v>
      </c>
      <c r="D104" s="1">
        <v>29</v>
      </c>
      <c r="E104" s="1" t="s">
        <v>99</v>
      </c>
      <c r="G104" t="str">
        <f>VLOOKUP(A104,Type!$A$1:$B$132,2,0)</f>
        <v>Private Well</v>
      </c>
      <c r="H104" s="1">
        <v>38.76923</v>
      </c>
      <c r="I104" s="1">
        <v>-104.7529833</v>
      </c>
      <c r="J104" s="10">
        <v>83</v>
      </c>
      <c r="K104" s="10">
        <v>32</v>
      </c>
      <c r="L104" s="10">
        <v>150</v>
      </c>
      <c r="M104" s="10">
        <v>5.0999999999999996</v>
      </c>
      <c r="N104" s="10">
        <v>46</v>
      </c>
      <c r="O104" s="10">
        <v>300</v>
      </c>
    </row>
    <row r="105" spans="1:15" ht="12.75" x14ac:dyDescent="0.2">
      <c r="A105" s="1" t="s">
        <v>109</v>
      </c>
      <c r="B105" s="2">
        <v>42464</v>
      </c>
      <c r="C105" s="1" t="s">
        <v>110</v>
      </c>
      <c r="D105" s="1">
        <v>33</v>
      </c>
      <c r="E105" s="1" t="s">
        <v>111</v>
      </c>
      <c r="F105" t="str">
        <f>VLOOKUP(A105,Type!$A$1:$C$132,3,0)</f>
        <v>CO0221806</v>
      </c>
      <c r="G105" t="str">
        <f>VLOOKUP(A105,Type!$A$1:$B$132,2,0)</f>
        <v>PWS and Other</v>
      </c>
      <c r="H105" s="1">
        <v>38.758015999999998</v>
      </c>
      <c r="I105" s="1">
        <v>-104.753739</v>
      </c>
      <c r="J105" s="10">
        <v>120</v>
      </c>
      <c r="K105" s="10">
        <v>44</v>
      </c>
      <c r="L105" s="10">
        <v>560</v>
      </c>
      <c r="M105" s="10">
        <v>0</v>
      </c>
      <c r="N105" s="10">
        <v>86</v>
      </c>
      <c r="O105" s="10">
        <v>130</v>
      </c>
    </row>
    <row r="106" spans="1:15" ht="12.75" x14ac:dyDescent="0.2">
      <c r="A106" s="1" t="s">
        <v>55</v>
      </c>
      <c r="B106" s="2">
        <v>42494</v>
      </c>
      <c r="C106" s="1" t="s">
        <v>56</v>
      </c>
      <c r="D106" s="1">
        <v>15</v>
      </c>
      <c r="E106" s="1" t="s">
        <v>57</v>
      </c>
      <c r="G106" t="str">
        <f>VLOOKUP(A106,Type!$A$1:$B$132,2,0)</f>
        <v>PWS and Other</v>
      </c>
      <c r="H106" s="1">
        <v>38.787078000000001</v>
      </c>
      <c r="I106" s="1">
        <v>-104.754322</v>
      </c>
      <c r="J106" s="10">
        <v>20</v>
      </c>
      <c r="K106" s="10">
        <v>12</v>
      </c>
      <c r="L106" s="10">
        <v>93</v>
      </c>
      <c r="M106" s="10">
        <v>0</v>
      </c>
      <c r="N106" s="10">
        <v>13</v>
      </c>
      <c r="O106" s="10">
        <v>41</v>
      </c>
    </row>
    <row r="107" spans="1:15" ht="12.75" x14ac:dyDescent="0.2">
      <c r="A107" s="1" t="s">
        <v>64</v>
      </c>
      <c r="B107" s="2">
        <v>42507</v>
      </c>
      <c r="C107" s="1" t="s">
        <v>65</v>
      </c>
      <c r="D107" s="1">
        <v>18</v>
      </c>
      <c r="E107" s="1" t="s">
        <v>66</v>
      </c>
      <c r="F107" t="str">
        <f>VLOOKUP(A107,Type!$A$1:$C$132,3,0)</f>
        <v>CO0221276</v>
      </c>
      <c r="G107" t="str">
        <f>VLOOKUP(A107,Type!$A$1:$B$132,2,0)</f>
        <v>PWS and Other</v>
      </c>
      <c r="H107" s="1">
        <v>38.769599999999997</v>
      </c>
      <c r="I107" s="1">
        <v>-104.7548833</v>
      </c>
      <c r="J107" s="10">
        <v>90</v>
      </c>
      <c r="K107" s="10">
        <v>20</v>
      </c>
      <c r="L107" s="10">
        <v>210</v>
      </c>
      <c r="M107" s="10">
        <v>3.9</v>
      </c>
      <c r="N107" s="10">
        <v>30</v>
      </c>
      <c r="O107" s="10">
        <v>130</v>
      </c>
    </row>
    <row r="108" spans="1:15" ht="12.75" x14ac:dyDescent="0.2">
      <c r="A108" s="1" t="s">
        <v>148</v>
      </c>
      <c r="B108" s="2">
        <v>42471</v>
      </c>
      <c r="C108" s="1" t="s">
        <v>149</v>
      </c>
      <c r="D108" s="1">
        <v>46</v>
      </c>
      <c r="E108" s="1" t="s">
        <v>150</v>
      </c>
      <c r="F108" t="str">
        <f>VLOOKUP(A108,Type!$A$1:$C$132,3,0)</f>
        <v>CO0121775</v>
      </c>
      <c r="G108" t="str">
        <f>VLOOKUP(A108,Type!$A$1:$B$132,2,0)</f>
        <v>PWS and Other</v>
      </c>
      <c r="H108" s="1">
        <v>38.763888999999999</v>
      </c>
      <c r="I108" s="1">
        <v>-104.755</v>
      </c>
      <c r="J108" s="10">
        <v>37</v>
      </c>
      <c r="K108" s="10">
        <v>20</v>
      </c>
      <c r="L108" s="10">
        <v>130</v>
      </c>
      <c r="M108" s="10">
        <v>0</v>
      </c>
      <c r="N108" s="10">
        <v>35</v>
      </c>
      <c r="O108" s="10">
        <v>130</v>
      </c>
    </row>
    <row r="109" spans="1:15" ht="12.75" x14ac:dyDescent="0.2">
      <c r="A109" s="1" t="s">
        <v>151</v>
      </c>
      <c r="B109" s="2">
        <v>42466</v>
      </c>
      <c r="C109" s="1" t="s">
        <v>152</v>
      </c>
      <c r="D109" s="1">
        <v>47</v>
      </c>
      <c r="E109" s="1" t="s">
        <v>153</v>
      </c>
      <c r="F109" t="str">
        <f>VLOOKUP(A109,Type!$A$1:$C$132,3,0)</f>
        <v>CO0121775</v>
      </c>
      <c r="G109" t="str">
        <f>VLOOKUP(A109,Type!$A$1:$B$132,2,0)</f>
        <v>PWS and Other</v>
      </c>
      <c r="H109" s="1">
        <v>38.766111000000002</v>
      </c>
      <c r="I109" s="1">
        <v>-104.756944</v>
      </c>
      <c r="J109" s="10">
        <v>42</v>
      </c>
      <c r="K109" s="10">
        <v>17</v>
      </c>
      <c r="L109" s="10">
        <v>160</v>
      </c>
      <c r="M109" s="10">
        <v>0</v>
      </c>
      <c r="N109" s="10">
        <v>32</v>
      </c>
      <c r="O109" s="10">
        <v>110</v>
      </c>
    </row>
    <row r="110" spans="1:15" ht="12.75" x14ac:dyDescent="0.2">
      <c r="A110" s="1" t="s">
        <v>154</v>
      </c>
      <c r="B110" s="2">
        <v>42466</v>
      </c>
      <c r="C110" s="1" t="s">
        <v>155</v>
      </c>
      <c r="D110" s="1">
        <v>48</v>
      </c>
      <c r="E110" s="1" t="s">
        <v>156</v>
      </c>
      <c r="F110" t="str">
        <f>VLOOKUP(A110,Type!$A$1:$C$132,3,0)</f>
        <v>CO0121775</v>
      </c>
      <c r="G110" t="str">
        <f>VLOOKUP(A110,Type!$A$1:$B$132,2,0)</f>
        <v>PWS and Other</v>
      </c>
      <c r="H110" s="1">
        <v>38.768341999999997</v>
      </c>
      <c r="I110" s="1">
        <v>-104.759092</v>
      </c>
      <c r="J110" s="10">
        <v>84</v>
      </c>
      <c r="K110" s="10">
        <v>36</v>
      </c>
      <c r="L110" s="10">
        <v>410</v>
      </c>
      <c r="M110" s="10">
        <v>0</v>
      </c>
      <c r="N110" s="10">
        <v>96</v>
      </c>
      <c r="O110" s="10">
        <v>160</v>
      </c>
    </row>
    <row r="111" spans="1:15" ht="12.75" x14ac:dyDescent="0.2">
      <c r="A111" s="1" t="s">
        <v>124</v>
      </c>
      <c r="B111" s="2">
        <v>42466</v>
      </c>
      <c r="C111" s="1" t="s">
        <v>125</v>
      </c>
      <c r="D111" s="1">
        <v>38</v>
      </c>
      <c r="E111" s="1" t="s">
        <v>126</v>
      </c>
      <c r="F111" t="str">
        <f>VLOOKUP(A111,Type!$A$1:$C$132,3,0)</f>
        <v>CO0121775</v>
      </c>
      <c r="G111" t="str">
        <f>VLOOKUP(A111,Type!$A$1:$B$132,2,0)</f>
        <v>PWS and Other</v>
      </c>
      <c r="H111" s="1">
        <v>38.766461</v>
      </c>
      <c r="I111" s="1">
        <v>-104.759468</v>
      </c>
      <c r="J111" s="10">
        <v>90</v>
      </c>
      <c r="K111" s="10">
        <v>38</v>
      </c>
      <c r="L111" s="10">
        <v>440</v>
      </c>
      <c r="M111" s="10">
        <v>0</v>
      </c>
      <c r="N111" s="10">
        <v>94</v>
      </c>
      <c r="O111" s="10">
        <v>170</v>
      </c>
    </row>
    <row r="112" spans="1:15" ht="12.75" x14ac:dyDescent="0.2">
      <c r="A112" s="1" t="s">
        <v>157</v>
      </c>
      <c r="B112" s="2">
        <v>42466</v>
      </c>
      <c r="C112" s="1" t="s">
        <v>158</v>
      </c>
      <c r="D112" s="1">
        <v>49</v>
      </c>
      <c r="E112" s="1" t="s">
        <v>159</v>
      </c>
      <c r="F112" t="str">
        <f>VLOOKUP(A112,Type!$A$1:$C$132,3,0)</f>
        <v>CO0121775</v>
      </c>
      <c r="G112" t="str">
        <f>VLOOKUP(A112,Type!$A$1:$B$132,2,0)</f>
        <v>PWS and Other</v>
      </c>
      <c r="H112" s="1">
        <v>38.769514000000001</v>
      </c>
      <c r="I112" s="1">
        <v>-104.76021</v>
      </c>
      <c r="J112" s="10">
        <v>180</v>
      </c>
      <c r="K112" s="10">
        <v>37</v>
      </c>
      <c r="L112" s="10">
        <v>600</v>
      </c>
      <c r="M112" s="10">
        <v>0</v>
      </c>
      <c r="N112" s="10">
        <v>63</v>
      </c>
      <c r="O112" s="10">
        <v>520</v>
      </c>
    </row>
    <row r="113" spans="1:15" ht="12.75" x14ac:dyDescent="0.2">
      <c r="A113" s="1" t="s">
        <v>253</v>
      </c>
      <c r="B113" s="2">
        <v>42549</v>
      </c>
      <c r="C113" s="1" t="s">
        <v>254</v>
      </c>
      <c r="D113" s="1">
        <v>81</v>
      </c>
      <c r="E113" s="1" t="s">
        <v>255</v>
      </c>
      <c r="G113" t="str">
        <f>VLOOKUP(A113,Type!$A$1:$B$132,2,0)</f>
        <v>Private Well</v>
      </c>
      <c r="H113" s="1">
        <v>38.771680000000003</v>
      </c>
      <c r="I113" s="1">
        <v>-104.76085</v>
      </c>
      <c r="J113" s="10">
        <v>52</v>
      </c>
      <c r="K113" s="10">
        <v>16</v>
      </c>
      <c r="L113" s="10">
        <v>200</v>
      </c>
      <c r="M113" s="10">
        <v>0</v>
      </c>
      <c r="N113" s="10">
        <v>20</v>
      </c>
      <c r="O113" s="10">
        <v>140</v>
      </c>
    </row>
    <row r="114" spans="1:15" ht="12.75" x14ac:dyDescent="0.2">
      <c r="A114" s="1" t="s">
        <v>58</v>
      </c>
      <c r="B114" s="2">
        <v>42466</v>
      </c>
      <c r="C114" s="1" t="s">
        <v>59</v>
      </c>
      <c r="D114" s="1">
        <v>16</v>
      </c>
      <c r="E114" s="1" t="s">
        <v>60</v>
      </c>
      <c r="G114" t="str">
        <f>VLOOKUP(A114,Type!$A$1:$B$132,2,0)</f>
        <v>PWS and Other</v>
      </c>
      <c r="H114" s="1">
        <v>38.765701</v>
      </c>
      <c r="I114" s="1">
        <v>-104.760926</v>
      </c>
      <c r="J114" s="10">
        <v>110</v>
      </c>
      <c r="K114" s="10">
        <v>22</v>
      </c>
      <c r="L114" s="10">
        <v>410</v>
      </c>
      <c r="M114" s="10">
        <v>0</v>
      </c>
      <c r="N114" s="10">
        <v>38</v>
      </c>
      <c r="O114" s="10">
        <v>290</v>
      </c>
    </row>
    <row r="115" spans="1:15" ht="12.75" x14ac:dyDescent="0.2">
      <c r="A115" s="1" t="s">
        <v>250</v>
      </c>
      <c r="B115" s="2">
        <v>42550</v>
      </c>
      <c r="C115" s="1" t="s">
        <v>251</v>
      </c>
      <c r="D115" s="1">
        <v>80</v>
      </c>
      <c r="E115" s="1" t="s">
        <v>252</v>
      </c>
      <c r="G115" t="str">
        <f>VLOOKUP(A115,Type!$A$1:$B$132,2,0)</f>
        <v>Private Well</v>
      </c>
      <c r="H115" s="1">
        <v>38.771650000000001</v>
      </c>
      <c r="I115" s="1">
        <v>-104.76209</v>
      </c>
      <c r="J115" s="10">
        <v>0</v>
      </c>
      <c r="K115" s="10">
        <v>3.5</v>
      </c>
      <c r="L115" s="10">
        <v>13</v>
      </c>
      <c r="M115" s="10">
        <v>0</v>
      </c>
      <c r="N115" s="10">
        <v>5.2</v>
      </c>
      <c r="O115" s="10">
        <v>14</v>
      </c>
    </row>
    <row r="116" spans="1:15" ht="12.75" x14ac:dyDescent="0.2">
      <c r="A116" s="1" t="s">
        <v>397</v>
      </c>
      <c r="B116" s="2">
        <v>42781</v>
      </c>
      <c r="C116" s="1" t="s">
        <v>398</v>
      </c>
      <c r="D116" s="1">
        <v>129</v>
      </c>
      <c r="E116" s="1" t="s">
        <v>399</v>
      </c>
      <c r="G116" t="str">
        <f>VLOOKUP(A116,Type!$A$1:$B$132,2,0)</f>
        <v>PWS and Other</v>
      </c>
      <c r="H116" s="1">
        <v>38.779994799999997</v>
      </c>
      <c r="I116" s="1">
        <v>-104.7630284</v>
      </c>
      <c r="J116" s="10">
        <v>0</v>
      </c>
      <c r="K116" s="10">
        <v>0</v>
      </c>
      <c r="L116" s="10">
        <v>10</v>
      </c>
      <c r="M116" s="10">
        <v>0</v>
      </c>
      <c r="N116" s="10">
        <v>4</v>
      </c>
      <c r="O116" s="10">
        <v>18</v>
      </c>
    </row>
    <row r="117" spans="1:15" ht="12.75" x14ac:dyDescent="0.2">
      <c r="A117" s="1" t="s">
        <v>106</v>
      </c>
      <c r="B117" s="2">
        <v>42460</v>
      </c>
      <c r="C117" s="1" t="s">
        <v>107</v>
      </c>
      <c r="D117" s="1">
        <v>32</v>
      </c>
      <c r="E117" s="1" t="s">
        <v>108</v>
      </c>
      <c r="G117" t="str">
        <f>VLOOKUP(A117,Type!$A$1:$B$132,2,0)</f>
        <v>Private Well</v>
      </c>
      <c r="H117" s="1">
        <v>38.768752999999997</v>
      </c>
      <c r="I117" s="1">
        <v>-104.763417</v>
      </c>
      <c r="J117" s="10">
        <v>0</v>
      </c>
      <c r="K117" s="10">
        <v>20</v>
      </c>
      <c r="L117" s="10">
        <v>78</v>
      </c>
      <c r="M117" s="10">
        <v>0</v>
      </c>
      <c r="N117" s="10">
        <v>48</v>
      </c>
      <c r="O117" s="10">
        <v>44</v>
      </c>
    </row>
    <row r="118" spans="1:15" ht="12.75" x14ac:dyDescent="0.2">
      <c r="A118" s="1" t="s">
        <v>61</v>
      </c>
      <c r="B118" s="2">
        <v>42437</v>
      </c>
      <c r="C118" s="1" t="s">
        <v>62</v>
      </c>
      <c r="D118" s="1">
        <v>17</v>
      </c>
      <c r="E118" s="1" t="s">
        <v>63</v>
      </c>
      <c r="G118" t="str">
        <f>VLOOKUP(A118,Type!$A$1:$B$132,2,0)</f>
        <v>PWS and Other</v>
      </c>
      <c r="H118" s="1">
        <v>38.773766000000002</v>
      </c>
      <c r="I118" s="1">
        <v>-104.764859</v>
      </c>
      <c r="J118" s="10">
        <v>9</v>
      </c>
      <c r="K118" s="10">
        <v>4</v>
      </c>
      <c r="L118" s="10">
        <v>13</v>
      </c>
      <c r="M118" s="10">
        <v>0</v>
      </c>
      <c r="N118" s="10">
        <v>8</v>
      </c>
      <c r="O118" s="10">
        <v>9</v>
      </c>
    </row>
    <row r="119" spans="1:15" ht="12.75" x14ac:dyDescent="0.2">
      <c r="A119" s="1" t="s">
        <v>115</v>
      </c>
      <c r="B119" s="2">
        <v>42464</v>
      </c>
      <c r="C119" s="1" t="s">
        <v>116</v>
      </c>
      <c r="D119" s="1">
        <v>35</v>
      </c>
      <c r="E119" s="1" t="s">
        <v>117</v>
      </c>
      <c r="G119" t="str">
        <f>VLOOKUP(A119,Type!$A$1:$B$132,2,0)</f>
        <v>Private Well</v>
      </c>
      <c r="H119" s="1">
        <v>38.772399999999998</v>
      </c>
      <c r="I119" s="1">
        <v>-104.7655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 spans="1:15" ht="12.75" x14ac:dyDescent="0.2">
      <c r="A120" s="1" t="s">
        <v>355</v>
      </c>
      <c r="B120" s="2">
        <v>42690</v>
      </c>
      <c r="C120" s="1" t="s">
        <v>356</v>
      </c>
      <c r="D120" s="1">
        <v>115</v>
      </c>
      <c r="E120" s="1" t="s">
        <v>357</v>
      </c>
      <c r="F120" t="str">
        <f>VLOOKUP(A120,Type!$A$1:$C$132,3,0)</f>
        <v>CO0121800</v>
      </c>
      <c r="G120" t="str">
        <f>VLOOKUP(A120,Type!$A$1:$B$132,2,0)</f>
        <v>PWS and Other</v>
      </c>
      <c r="H120" s="1">
        <v>38.772421000000001</v>
      </c>
      <c r="I120" s="1">
        <v>-104.765546</v>
      </c>
      <c r="J120" s="10">
        <v>0</v>
      </c>
      <c r="K120" s="10">
        <v>2.7</v>
      </c>
      <c r="L120" s="10">
        <v>11</v>
      </c>
      <c r="M120" s="10">
        <v>0</v>
      </c>
      <c r="N120" s="10">
        <v>4.8</v>
      </c>
      <c r="O120" s="10">
        <v>13</v>
      </c>
    </row>
    <row r="121" spans="1:15" ht="12.75" x14ac:dyDescent="0.2">
      <c r="A121" s="1" t="s">
        <v>205</v>
      </c>
      <c r="B121" s="2">
        <v>42690</v>
      </c>
      <c r="C121" s="1" t="s">
        <v>206</v>
      </c>
      <c r="D121" s="1">
        <v>65</v>
      </c>
      <c r="E121" s="1" t="s">
        <v>207</v>
      </c>
      <c r="F121" t="str">
        <f>VLOOKUP(A121,Type!$A$1:$C$132,3,0)</f>
        <v>CO0121800</v>
      </c>
      <c r="G121" t="str">
        <f>VLOOKUP(A121,Type!$A$1:$B$132,2,0)</f>
        <v>PWS and Other</v>
      </c>
      <c r="H121" s="1">
        <v>38.771360000000001</v>
      </c>
      <c r="I121" s="1">
        <v>-104.76672000000001</v>
      </c>
      <c r="J121" s="10">
        <v>20</v>
      </c>
      <c r="K121" s="10">
        <v>11</v>
      </c>
      <c r="L121" s="10">
        <v>43</v>
      </c>
      <c r="M121" s="10">
        <v>0</v>
      </c>
      <c r="N121" s="10">
        <v>26</v>
      </c>
      <c r="O121" s="10">
        <v>54</v>
      </c>
    </row>
    <row r="122" spans="1:15" ht="12.75" x14ac:dyDescent="0.2">
      <c r="A122" s="1" t="s">
        <v>358</v>
      </c>
      <c r="B122" s="2">
        <v>42788</v>
      </c>
      <c r="C122" s="1" t="s">
        <v>359</v>
      </c>
      <c r="D122" s="1">
        <v>116</v>
      </c>
      <c r="E122" s="1" t="s">
        <v>360</v>
      </c>
      <c r="F122" t="str">
        <f>VLOOKUP(A122,Type!$A$1:$C$132,3,0)</f>
        <v>CO0121800</v>
      </c>
      <c r="G122" t="str">
        <f>VLOOKUP(A122,Type!$A$1:$B$132,2,0)</f>
        <v>PWS and Other</v>
      </c>
      <c r="H122" s="1">
        <v>38.772559999999999</v>
      </c>
      <c r="I122" s="1">
        <v>-104.76864999999999</v>
      </c>
      <c r="J122" s="10">
        <v>11</v>
      </c>
      <c r="K122" s="10">
        <v>4.8</v>
      </c>
      <c r="L122" s="10">
        <v>22</v>
      </c>
      <c r="M122" s="10">
        <v>0</v>
      </c>
      <c r="N122" s="10">
        <v>11</v>
      </c>
      <c r="O122" s="10">
        <v>42</v>
      </c>
    </row>
    <row r="123" spans="1:15" ht="12.75" x14ac:dyDescent="0.2">
      <c r="A123" s="1" t="s">
        <v>310</v>
      </c>
      <c r="B123" s="2">
        <v>42579</v>
      </c>
      <c r="C123" s="1" t="s">
        <v>311</v>
      </c>
      <c r="D123" s="1">
        <v>100</v>
      </c>
      <c r="E123" s="1" t="s">
        <v>312</v>
      </c>
      <c r="G123" t="str">
        <f>VLOOKUP(A123,Type!$A$1:$B$132,2,0)</f>
        <v>Private Well</v>
      </c>
      <c r="H123" s="1">
        <v>38.772787999999998</v>
      </c>
      <c r="I123" s="1">
        <v>-104.768776</v>
      </c>
      <c r="J123" s="10">
        <v>20</v>
      </c>
      <c r="K123" s="10">
        <v>8.5</v>
      </c>
      <c r="L123" s="10">
        <v>46</v>
      </c>
      <c r="M123" s="10">
        <v>0</v>
      </c>
      <c r="N123" s="10">
        <v>19</v>
      </c>
      <c r="O123" s="10">
        <v>46</v>
      </c>
    </row>
    <row r="124" spans="1:15" ht="12.75" x14ac:dyDescent="0.2">
      <c r="A124" s="1" t="s">
        <v>391</v>
      </c>
      <c r="B124" s="2">
        <v>42781</v>
      </c>
      <c r="C124" s="1" t="s">
        <v>392</v>
      </c>
      <c r="D124" s="1">
        <v>127</v>
      </c>
      <c r="E124" s="1" t="s">
        <v>393</v>
      </c>
      <c r="G124" t="str">
        <f>VLOOKUP(A124,Type!$A$1:$B$132,2,0)</f>
        <v>PWS and Other</v>
      </c>
      <c r="H124" s="1">
        <v>38.777494500000003</v>
      </c>
      <c r="I124" s="1">
        <v>-104.771084</v>
      </c>
      <c r="J124" s="10">
        <v>0</v>
      </c>
      <c r="K124" s="10">
        <v>2</v>
      </c>
      <c r="L124" s="10">
        <v>15</v>
      </c>
      <c r="M124" s="10">
        <v>0</v>
      </c>
      <c r="N124" s="10">
        <v>4</v>
      </c>
      <c r="O124" s="10">
        <v>28</v>
      </c>
    </row>
    <row r="125" spans="1:15" ht="12.75" x14ac:dyDescent="0.2">
      <c r="A125" s="1" t="s">
        <v>208</v>
      </c>
      <c r="B125" s="2">
        <v>42507</v>
      </c>
      <c r="C125" s="1" t="s">
        <v>209</v>
      </c>
      <c r="D125" s="1">
        <v>66</v>
      </c>
      <c r="E125" s="1" t="s">
        <v>210</v>
      </c>
      <c r="F125" t="str">
        <f>VLOOKUP(A125,Type!$A$1:$C$132,3,0)</f>
        <v>CO0221766</v>
      </c>
      <c r="G125" t="str">
        <f>VLOOKUP(A125,Type!$A$1:$B$132,2,0)</f>
        <v>PWS and Other</v>
      </c>
      <c r="H125" s="1">
        <v>38.778080000000003</v>
      </c>
      <c r="I125" s="1">
        <v>-104.77509999999999</v>
      </c>
      <c r="J125" s="10">
        <v>45</v>
      </c>
      <c r="K125" s="10">
        <v>8.5</v>
      </c>
      <c r="L125" s="10">
        <v>37</v>
      </c>
      <c r="M125" s="10">
        <v>4</v>
      </c>
      <c r="N125" s="10">
        <v>14</v>
      </c>
      <c r="O125" s="10">
        <v>32</v>
      </c>
    </row>
    <row r="126" spans="1:15" ht="12.75" x14ac:dyDescent="0.2">
      <c r="A126" s="1" t="s">
        <v>394</v>
      </c>
      <c r="B126" s="2">
        <v>42781</v>
      </c>
      <c r="C126" s="1" t="s">
        <v>395</v>
      </c>
      <c r="D126" s="1">
        <v>128</v>
      </c>
      <c r="E126" s="1" t="s">
        <v>396</v>
      </c>
      <c r="G126" t="str">
        <f>VLOOKUP(A126,Type!$A$1:$B$132,2,0)</f>
        <v>PWS and Other</v>
      </c>
      <c r="H126" s="1">
        <v>38.788327600000002</v>
      </c>
      <c r="I126" s="1">
        <v>-104.777473</v>
      </c>
      <c r="J126" s="10">
        <v>15</v>
      </c>
      <c r="K126" s="10">
        <v>4</v>
      </c>
      <c r="L126" s="10">
        <v>15</v>
      </c>
      <c r="M126" s="10">
        <v>0</v>
      </c>
      <c r="N126" s="10">
        <v>9</v>
      </c>
      <c r="O126" s="10">
        <v>26</v>
      </c>
    </row>
    <row r="127" spans="1:15" ht="12.75" x14ac:dyDescent="0.2">
      <c r="A127" s="1" t="s">
        <v>94</v>
      </c>
      <c r="B127" s="2">
        <v>42464</v>
      </c>
      <c r="C127" s="1" t="s">
        <v>95</v>
      </c>
      <c r="D127" s="1">
        <v>28</v>
      </c>
      <c r="E127" s="1" t="s">
        <v>96</v>
      </c>
      <c r="G127" t="str">
        <f>VLOOKUP(A127,Type!$A$1:$B$132,2,0)</f>
        <v>Private Well</v>
      </c>
      <c r="H127" s="1">
        <v>38.783422199999997</v>
      </c>
      <c r="I127" s="1">
        <v>-104.78696669999999</v>
      </c>
      <c r="J127" s="10">
        <v>0</v>
      </c>
      <c r="K127" s="10">
        <v>12</v>
      </c>
      <c r="L127" s="10">
        <v>0</v>
      </c>
      <c r="M127" s="10">
        <v>0</v>
      </c>
      <c r="N127" s="10">
        <v>0</v>
      </c>
      <c r="O127" s="10">
        <v>0</v>
      </c>
    </row>
    <row r="128" spans="1:15" ht="12.75" x14ac:dyDescent="0.2">
      <c r="A128" s="1" t="s">
        <v>46</v>
      </c>
      <c r="B128" s="2">
        <v>42423</v>
      </c>
      <c r="C128" s="1" t="s">
        <v>47</v>
      </c>
      <c r="D128" s="1">
        <v>12</v>
      </c>
      <c r="E128" s="1" t="s">
        <v>48</v>
      </c>
      <c r="F128" t="str">
        <f>VLOOKUP(A128,Type!$A$1:$C$132,3,0)</f>
        <v>CO0121325</v>
      </c>
      <c r="G128" t="str">
        <f>VLOOKUP(A128,Type!$A$1:$B$132,2,0)</f>
        <v>PWS and Other</v>
      </c>
      <c r="H128" s="1">
        <v>38.796149999999997</v>
      </c>
      <c r="I128" s="1">
        <v>-104.79104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</row>
    <row r="129" spans="1:15" ht="12.75" x14ac:dyDescent="0.2">
      <c r="A129" s="1" t="s">
        <v>34</v>
      </c>
      <c r="B129" s="2">
        <v>42507</v>
      </c>
      <c r="C129" s="1" t="s">
        <v>35</v>
      </c>
      <c r="D129" s="1">
        <v>8</v>
      </c>
      <c r="E129" s="1" t="s">
        <v>36</v>
      </c>
      <c r="F129" t="str">
        <f>VLOOKUP(A129,Type!$A$1:$C$132,3,0)</f>
        <v>CO0121325</v>
      </c>
      <c r="G129" t="str">
        <f>VLOOKUP(A129,Type!$A$1:$B$132,2,0)</f>
        <v>PWS and Other</v>
      </c>
      <c r="H129" s="1">
        <v>38.796388999999998</v>
      </c>
      <c r="I129" s="1">
        <v>-104.7937</v>
      </c>
      <c r="J129" s="10">
        <v>46</v>
      </c>
      <c r="K129" s="10">
        <v>5.7</v>
      </c>
      <c r="L129" s="10">
        <v>19</v>
      </c>
      <c r="M129" s="10">
        <v>5.5</v>
      </c>
      <c r="N129" s="10">
        <v>13</v>
      </c>
      <c r="O129" s="10">
        <v>37</v>
      </c>
    </row>
    <row r="130" spans="1:15" ht="12.75" x14ac:dyDescent="0.2">
      <c r="A130" s="1" t="s">
        <v>37</v>
      </c>
      <c r="B130" s="2">
        <v>42507</v>
      </c>
      <c r="C130" s="1" t="s">
        <v>38</v>
      </c>
      <c r="D130" s="1">
        <v>9</v>
      </c>
      <c r="E130" s="1" t="s">
        <v>39</v>
      </c>
      <c r="F130" t="str">
        <f>VLOOKUP(A130,Type!$A$1:$C$132,3,0)</f>
        <v>CO0121325</v>
      </c>
      <c r="G130" t="str">
        <f>VLOOKUP(A130,Type!$A$1:$B$132,2,0)</f>
        <v>PWS and Other</v>
      </c>
      <c r="H130" s="1">
        <v>38.796944000000003</v>
      </c>
      <c r="I130" s="1">
        <v>-104.794166</v>
      </c>
      <c r="J130" s="10">
        <v>49</v>
      </c>
      <c r="K130" s="10">
        <v>8</v>
      </c>
      <c r="L130" s="10">
        <v>20</v>
      </c>
      <c r="M130" s="10">
        <v>6.6</v>
      </c>
      <c r="N130" s="10">
        <v>20</v>
      </c>
      <c r="O130" s="10">
        <v>36</v>
      </c>
    </row>
    <row r="131" spans="1:15" ht="12.75" x14ac:dyDescent="0.2">
      <c r="A131" s="1" t="s">
        <v>43</v>
      </c>
      <c r="B131" s="2">
        <v>42507</v>
      </c>
      <c r="C131" s="1" t="s">
        <v>44</v>
      </c>
      <c r="D131" s="1">
        <v>11</v>
      </c>
      <c r="E131" s="1" t="s">
        <v>45</v>
      </c>
      <c r="F131" t="str">
        <f>VLOOKUP(A131,Type!$A$1:$C$132,3,0)</f>
        <v>CO0121325</v>
      </c>
      <c r="G131" t="str">
        <f>VLOOKUP(A131,Type!$A$1:$B$132,2,0)</f>
        <v>PWS and Other</v>
      </c>
      <c r="H131" s="1">
        <v>38.79748</v>
      </c>
      <c r="I131" s="1">
        <v>-104.794166</v>
      </c>
      <c r="J131" s="10">
        <v>48</v>
      </c>
      <c r="K131" s="10">
        <v>5.5</v>
      </c>
      <c r="L131" s="10">
        <v>20</v>
      </c>
      <c r="M131" s="10">
        <v>5.4</v>
      </c>
      <c r="N131" s="10">
        <v>13</v>
      </c>
      <c r="O131" s="10">
        <v>34</v>
      </c>
    </row>
    <row r="132" spans="1:15" ht="12.75" x14ac:dyDescent="0.2">
      <c r="A132" s="1" t="s">
        <v>40</v>
      </c>
      <c r="B132" s="2">
        <v>42507</v>
      </c>
      <c r="C132" s="1" t="s">
        <v>41</v>
      </c>
      <c r="D132" s="1">
        <v>10</v>
      </c>
      <c r="E132" s="1" t="s">
        <v>42</v>
      </c>
      <c r="F132" t="str">
        <f>VLOOKUP(A132,Type!$A$1:$C$132,3,0)</f>
        <v>CO0121325</v>
      </c>
      <c r="G132" t="str">
        <f>VLOOKUP(A132,Type!$A$1:$B$132,2,0)</f>
        <v>PWS and Other</v>
      </c>
      <c r="H132" s="1">
        <v>38.797221999999998</v>
      </c>
      <c r="I132" s="1">
        <v>-104.79425999999999</v>
      </c>
      <c r="J132" s="10">
        <v>46</v>
      </c>
      <c r="K132" s="10">
        <v>4.9000000000000004</v>
      </c>
      <c r="L132" s="10">
        <v>19</v>
      </c>
      <c r="M132" s="10">
        <v>6.4</v>
      </c>
      <c r="N132" s="10">
        <v>11</v>
      </c>
      <c r="O132" s="10">
        <v>37</v>
      </c>
    </row>
  </sheetData>
  <autoFilter ref="A1:O132">
    <sortState ref="A2:Q132">
      <sortCondition descending="1" ref="I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32"/>
  <sheetViews>
    <sheetView workbookViewId="0">
      <selection activeCell="C35" sqref="C35"/>
    </sheetView>
  </sheetViews>
  <sheetFormatPr defaultColWidth="12.5703125" defaultRowHeight="15.75" customHeight="1" x14ac:dyDescent="0.2"/>
  <cols>
    <col min="1" max="1" width="46.5703125" style="6" customWidth="1"/>
    <col min="2" max="2" width="25.42578125" style="6" customWidth="1"/>
    <col min="3" max="3" width="46.5703125" style="6" customWidth="1"/>
    <col min="4" max="4" width="12.5703125" style="6"/>
    <col min="5" max="5" width="21" style="6" customWidth="1"/>
    <col min="6" max="6" width="22.7109375" style="6" customWidth="1"/>
    <col min="7" max="7" width="24.140625" style="6" customWidth="1"/>
    <col min="8" max="13" width="12.5703125" style="6"/>
    <col min="14" max="14" width="16.28515625" style="8" customWidth="1"/>
    <col min="15" max="15" width="38.5703125" style="6" customWidth="1"/>
    <col min="16" max="16" width="20" style="6" customWidth="1"/>
    <col min="17" max="16384" width="12.5703125" style="6"/>
  </cols>
  <sheetData>
    <row r="1" spans="1:16" ht="15" x14ac:dyDescent="0.3">
      <c r="A1" s="5" t="s">
        <v>408</v>
      </c>
      <c r="B1" s="4" t="s">
        <v>414</v>
      </c>
      <c r="C1" s="5" t="s">
        <v>417</v>
      </c>
      <c r="D1" s="3" t="s">
        <v>5</v>
      </c>
      <c r="E1" s="3" t="s">
        <v>6</v>
      </c>
      <c r="F1" s="4" t="s">
        <v>410</v>
      </c>
      <c r="G1" s="4" t="s">
        <v>412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406</v>
      </c>
      <c r="O1" s="4" t="s">
        <v>409</v>
      </c>
      <c r="P1" s="4" t="s">
        <v>407</v>
      </c>
    </row>
    <row r="2" spans="1:16" ht="12.75" x14ac:dyDescent="0.2">
      <c r="A2" s="3" t="s">
        <v>403</v>
      </c>
      <c r="B2" s="4" t="s">
        <v>416</v>
      </c>
      <c r="C2" t="s">
        <v>428</v>
      </c>
      <c r="D2" s="3">
        <v>38.541916999999998</v>
      </c>
      <c r="E2" s="3">
        <v>-104.64063299999999</v>
      </c>
      <c r="F2" s="4" t="s">
        <v>411</v>
      </c>
      <c r="G2" s="4" t="s">
        <v>413</v>
      </c>
      <c r="H2" s="3">
        <v>27</v>
      </c>
      <c r="I2" s="3">
        <v>7.5</v>
      </c>
      <c r="J2" s="3">
        <v>50</v>
      </c>
      <c r="K2" s="3">
        <v>0</v>
      </c>
      <c r="L2" s="3">
        <v>25</v>
      </c>
      <c r="M2" s="3">
        <v>18</v>
      </c>
      <c r="N2" s="7">
        <v>39595</v>
      </c>
      <c r="O2" s="3" t="s">
        <v>404</v>
      </c>
      <c r="P2" s="3" t="s">
        <v>405</v>
      </c>
    </row>
    <row r="3" spans="1:16" ht="12.75" x14ac:dyDescent="0.2">
      <c r="A3" s="3" t="s">
        <v>235</v>
      </c>
      <c r="B3" s="4" t="s">
        <v>416</v>
      </c>
      <c r="C3" t="s">
        <v>426</v>
      </c>
      <c r="D3" s="3">
        <v>38.736049999999999</v>
      </c>
      <c r="E3" s="3">
        <v>-104.72901400000001</v>
      </c>
      <c r="F3" s="4" t="s">
        <v>411</v>
      </c>
      <c r="G3" s="4" t="s">
        <v>413</v>
      </c>
      <c r="H3" s="3">
        <v>36</v>
      </c>
      <c r="I3" s="3">
        <v>12</v>
      </c>
      <c r="J3" s="3">
        <v>65</v>
      </c>
      <c r="K3" s="3">
        <v>0</v>
      </c>
      <c r="L3" s="3">
        <v>20</v>
      </c>
      <c r="M3" s="3">
        <v>78</v>
      </c>
      <c r="N3" s="7">
        <v>42493</v>
      </c>
      <c r="O3" s="3" t="s">
        <v>236</v>
      </c>
      <c r="P3" s="3" t="s">
        <v>237</v>
      </c>
    </row>
    <row r="4" spans="1:16" ht="12.75" x14ac:dyDescent="0.2">
      <c r="A4" s="3" t="s">
        <v>400</v>
      </c>
      <c r="B4" s="4" t="s">
        <v>416</v>
      </c>
      <c r="C4" t="s">
        <v>426</v>
      </c>
      <c r="D4" s="3">
        <v>38.729799999999997</v>
      </c>
      <c r="E4" s="3">
        <v>-104.653569</v>
      </c>
      <c r="F4" s="4" t="s">
        <v>411</v>
      </c>
      <c r="G4" s="4" t="s">
        <v>413</v>
      </c>
      <c r="H4" s="3">
        <v>0</v>
      </c>
      <c r="I4" s="3">
        <v>0</v>
      </c>
      <c r="J4" s="3">
        <v>0</v>
      </c>
      <c r="K4" s="3">
        <v>0</v>
      </c>
      <c r="L4" s="3">
        <v>4.7</v>
      </c>
      <c r="M4" s="3">
        <v>2.9</v>
      </c>
      <c r="N4" s="7">
        <v>42536</v>
      </c>
      <c r="O4" s="3" t="s">
        <v>401</v>
      </c>
      <c r="P4" s="3" t="s">
        <v>402</v>
      </c>
    </row>
    <row r="5" spans="1:16" ht="12.75" x14ac:dyDescent="0.2">
      <c r="A5" s="3" t="s">
        <v>232</v>
      </c>
      <c r="B5" s="4" t="s">
        <v>416</v>
      </c>
      <c r="C5" t="s">
        <v>426</v>
      </c>
      <c r="D5" s="3">
        <v>38.724384000000001</v>
      </c>
      <c r="E5" s="3">
        <v>-104.724433</v>
      </c>
      <c r="F5" s="4" t="s">
        <v>411</v>
      </c>
      <c r="G5" s="4" t="s">
        <v>413</v>
      </c>
      <c r="H5" s="3">
        <v>72</v>
      </c>
      <c r="I5" s="3">
        <v>22</v>
      </c>
      <c r="J5" s="3">
        <v>140</v>
      </c>
      <c r="K5" s="3">
        <v>3.8</v>
      </c>
      <c r="L5" s="3">
        <v>33</v>
      </c>
      <c r="M5" s="3">
        <v>260</v>
      </c>
      <c r="N5" s="7">
        <v>42682</v>
      </c>
      <c r="O5" s="3" t="s">
        <v>233</v>
      </c>
      <c r="P5" s="3" t="s">
        <v>234</v>
      </c>
    </row>
    <row r="6" spans="1:16" ht="12.75" x14ac:dyDescent="0.2">
      <c r="A6" s="3" t="s">
        <v>229</v>
      </c>
      <c r="B6" s="4" t="s">
        <v>416</v>
      </c>
      <c r="C6" t="s">
        <v>426</v>
      </c>
      <c r="D6" s="3">
        <v>38.732413000000001</v>
      </c>
      <c r="E6" s="3">
        <v>-104.731762</v>
      </c>
      <c r="F6" s="4" t="s">
        <v>411</v>
      </c>
      <c r="G6" s="4" t="s">
        <v>413</v>
      </c>
      <c r="H6" s="3">
        <v>83</v>
      </c>
      <c r="I6" s="3">
        <v>21</v>
      </c>
      <c r="J6" s="3">
        <v>350</v>
      </c>
      <c r="K6" s="3">
        <v>0</v>
      </c>
      <c r="L6" s="3">
        <v>39</v>
      </c>
      <c r="M6" s="3">
        <v>71</v>
      </c>
      <c r="N6" s="7">
        <v>42594</v>
      </c>
      <c r="O6" s="3" t="s">
        <v>230</v>
      </c>
      <c r="P6" s="3" t="s">
        <v>231</v>
      </c>
    </row>
    <row r="7" spans="1:16" ht="12.75" x14ac:dyDescent="0.2">
      <c r="A7" s="3" t="s">
        <v>226</v>
      </c>
      <c r="B7" s="4" t="s">
        <v>416</v>
      </c>
      <c r="C7" t="s">
        <v>426</v>
      </c>
      <c r="D7" s="3">
        <v>38.729424000000002</v>
      </c>
      <c r="E7" s="3">
        <v>-104.72900300000001</v>
      </c>
      <c r="F7" s="4" t="s">
        <v>411</v>
      </c>
      <c r="G7" s="4" t="s">
        <v>413</v>
      </c>
      <c r="H7" s="3">
        <v>56</v>
      </c>
      <c r="I7" s="3">
        <v>22</v>
      </c>
      <c r="J7" s="3">
        <v>260</v>
      </c>
      <c r="K7" s="3">
        <v>0</v>
      </c>
      <c r="L7" s="3">
        <v>42</v>
      </c>
      <c r="M7" s="3">
        <v>75</v>
      </c>
      <c r="N7" s="7">
        <v>42493</v>
      </c>
      <c r="O7" s="3" t="s">
        <v>227</v>
      </c>
      <c r="P7" s="3" t="s">
        <v>228</v>
      </c>
    </row>
    <row r="8" spans="1:16" ht="12.75" x14ac:dyDescent="0.2">
      <c r="A8" s="3" t="s">
        <v>223</v>
      </c>
      <c r="B8" s="4" t="s">
        <v>416</v>
      </c>
      <c r="C8" t="s">
        <v>426</v>
      </c>
      <c r="D8" s="3">
        <v>38.729256999999997</v>
      </c>
      <c r="E8" s="3">
        <v>-104.726162</v>
      </c>
      <c r="F8" s="4" t="s">
        <v>411</v>
      </c>
      <c r="G8" s="4" t="s">
        <v>413</v>
      </c>
      <c r="H8" s="3">
        <v>36</v>
      </c>
      <c r="I8" s="3">
        <v>13</v>
      </c>
      <c r="J8" s="3">
        <v>80</v>
      </c>
      <c r="K8" s="3">
        <v>0</v>
      </c>
      <c r="L8" s="3">
        <v>20</v>
      </c>
      <c r="M8" s="3">
        <v>93</v>
      </c>
      <c r="N8" s="7">
        <v>42493</v>
      </c>
      <c r="O8" s="3" t="s">
        <v>224</v>
      </c>
      <c r="P8" s="3" t="s">
        <v>225</v>
      </c>
    </row>
    <row r="9" spans="1:16" ht="12.75" x14ac:dyDescent="0.2">
      <c r="A9" s="3" t="s">
        <v>220</v>
      </c>
      <c r="B9" s="4" t="s">
        <v>416</v>
      </c>
      <c r="C9" t="s">
        <v>426</v>
      </c>
      <c r="D9" s="3">
        <v>38.727846999999997</v>
      </c>
      <c r="E9" s="3">
        <v>-104.72465</v>
      </c>
      <c r="F9" s="4" t="s">
        <v>411</v>
      </c>
      <c r="G9" s="4" t="s">
        <v>413</v>
      </c>
      <c r="H9" s="3">
        <v>71</v>
      </c>
      <c r="I9" s="3">
        <v>27</v>
      </c>
      <c r="J9" s="3">
        <v>150</v>
      </c>
      <c r="K9" s="3">
        <v>0</v>
      </c>
      <c r="L9" s="3">
        <v>35</v>
      </c>
      <c r="M9" s="3">
        <v>260</v>
      </c>
      <c r="N9" s="7">
        <v>42594</v>
      </c>
      <c r="O9" s="3" t="s">
        <v>221</v>
      </c>
      <c r="P9" s="3" t="s">
        <v>222</v>
      </c>
    </row>
    <row r="10" spans="1:16" ht="12.75" x14ac:dyDescent="0.2">
      <c r="A10" s="3" t="s">
        <v>286</v>
      </c>
      <c r="B10" s="4" t="s">
        <v>416</v>
      </c>
      <c r="C10" t="s">
        <v>426</v>
      </c>
      <c r="D10" s="3">
        <v>38.735447999999998</v>
      </c>
      <c r="E10" s="3">
        <v>-104.731835</v>
      </c>
      <c r="F10" s="4" t="s">
        <v>411</v>
      </c>
      <c r="G10" s="4" t="s">
        <v>413</v>
      </c>
      <c r="H10" s="3">
        <v>0</v>
      </c>
      <c r="I10" s="3">
        <v>24</v>
      </c>
      <c r="J10" s="3">
        <v>330</v>
      </c>
      <c r="K10" s="3">
        <v>0</v>
      </c>
      <c r="L10" s="3">
        <v>45</v>
      </c>
      <c r="M10" s="3">
        <v>51</v>
      </c>
      <c r="N10" s="7">
        <v>41778</v>
      </c>
      <c r="O10" s="3" t="s">
        <v>287</v>
      </c>
      <c r="P10" s="3" t="s">
        <v>288</v>
      </c>
    </row>
    <row r="11" spans="1:16" ht="12.75" x14ac:dyDescent="0.2">
      <c r="A11" s="3" t="s">
        <v>217</v>
      </c>
      <c r="B11" s="4" t="s">
        <v>416</v>
      </c>
      <c r="C11" t="s">
        <v>426</v>
      </c>
      <c r="D11" s="3">
        <v>38.733888999999998</v>
      </c>
      <c r="E11" s="3">
        <v>-104.730833</v>
      </c>
      <c r="F11" s="4" t="s">
        <v>411</v>
      </c>
      <c r="G11" s="4" t="s">
        <v>413</v>
      </c>
      <c r="H11" s="3">
        <v>64</v>
      </c>
      <c r="I11" s="3">
        <v>23</v>
      </c>
      <c r="J11" s="3">
        <v>320</v>
      </c>
      <c r="K11" s="3">
        <v>0</v>
      </c>
      <c r="L11" s="3">
        <v>48</v>
      </c>
      <c r="M11" s="3">
        <v>90</v>
      </c>
      <c r="N11" s="7">
        <v>42492</v>
      </c>
      <c r="O11" s="3" t="s">
        <v>218</v>
      </c>
      <c r="P11" s="3" t="s">
        <v>219</v>
      </c>
    </row>
    <row r="12" spans="1:16" ht="12.75" x14ac:dyDescent="0.2">
      <c r="A12" s="3" t="s">
        <v>214</v>
      </c>
      <c r="B12" s="4" t="s">
        <v>416</v>
      </c>
      <c r="C12" t="s">
        <v>426</v>
      </c>
      <c r="D12" s="3">
        <v>38.736887000000003</v>
      </c>
      <c r="E12" s="3">
        <v>-104.72972799999999</v>
      </c>
      <c r="F12" s="4" t="s">
        <v>411</v>
      </c>
      <c r="G12" s="4" t="s">
        <v>413</v>
      </c>
      <c r="H12" s="3">
        <v>0</v>
      </c>
      <c r="I12" s="3">
        <v>0</v>
      </c>
      <c r="J12" s="3">
        <v>0</v>
      </c>
      <c r="K12" s="3">
        <v>0</v>
      </c>
      <c r="L12" s="3">
        <v>26</v>
      </c>
      <c r="M12" s="3">
        <v>72</v>
      </c>
      <c r="N12" s="7">
        <v>42410</v>
      </c>
      <c r="O12" s="3" t="s">
        <v>215</v>
      </c>
      <c r="P12" s="3" t="s">
        <v>216</v>
      </c>
    </row>
    <row r="13" spans="1:16" ht="12.75" x14ac:dyDescent="0.2">
      <c r="A13" s="3" t="s">
        <v>280</v>
      </c>
      <c r="B13" s="4" t="s">
        <v>416</v>
      </c>
      <c r="C13" t="s">
        <v>426</v>
      </c>
      <c r="D13" s="3">
        <v>38.730277999999998</v>
      </c>
      <c r="E13" s="3">
        <v>-104.651111</v>
      </c>
      <c r="F13" s="4" t="s">
        <v>411</v>
      </c>
      <c r="G13" s="4" t="s">
        <v>413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7">
        <v>41778</v>
      </c>
      <c r="O13" s="3" t="s">
        <v>281</v>
      </c>
      <c r="P13" s="3" t="s">
        <v>282</v>
      </c>
    </row>
    <row r="14" spans="1:16" ht="12.75" x14ac:dyDescent="0.2">
      <c r="A14" s="3" t="s">
        <v>211</v>
      </c>
      <c r="B14" s="4" t="s">
        <v>416</v>
      </c>
      <c r="C14" t="s">
        <v>426</v>
      </c>
      <c r="D14" s="3">
        <v>38.755580000000002</v>
      </c>
      <c r="E14" s="3">
        <v>-104.7311667</v>
      </c>
      <c r="F14" s="4" t="s">
        <v>411</v>
      </c>
      <c r="G14" s="4" t="s">
        <v>413</v>
      </c>
      <c r="H14" s="3">
        <v>110</v>
      </c>
      <c r="I14" s="3">
        <v>39</v>
      </c>
      <c r="J14" s="3">
        <v>200</v>
      </c>
      <c r="K14" s="3">
        <v>6.2</v>
      </c>
      <c r="L14" s="3">
        <v>41</v>
      </c>
      <c r="M14" s="3">
        <v>320</v>
      </c>
      <c r="N14" s="7">
        <v>42507</v>
      </c>
      <c r="O14" s="3" t="s">
        <v>212</v>
      </c>
      <c r="P14" s="3" t="s">
        <v>213</v>
      </c>
    </row>
    <row r="15" spans="1:16" ht="12.75" x14ac:dyDescent="0.2">
      <c r="A15" s="3" t="s">
        <v>109</v>
      </c>
      <c r="B15" s="4" t="s">
        <v>416</v>
      </c>
      <c r="C15" t="s">
        <v>423</v>
      </c>
      <c r="D15" s="3">
        <v>38.758015999999998</v>
      </c>
      <c r="E15" s="3">
        <v>-104.753739</v>
      </c>
      <c r="F15" s="4" t="s">
        <v>411</v>
      </c>
      <c r="G15" s="4" t="s">
        <v>413</v>
      </c>
      <c r="H15" s="3">
        <v>120</v>
      </c>
      <c r="I15" s="3">
        <v>44</v>
      </c>
      <c r="J15" s="3">
        <v>560</v>
      </c>
      <c r="K15" s="3">
        <v>0</v>
      </c>
      <c r="L15" s="3">
        <v>86</v>
      </c>
      <c r="M15" s="3">
        <v>130</v>
      </c>
      <c r="N15" s="7">
        <v>42464</v>
      </c>
      <c r="O15" s="3" t="s">
        <v>110</v>
      </c>
      <c r="P15" s="3" t="s">
        <v>111</v>
      </c>
    </row>
    <row r="16" spans="1:16" ht="12.75" x14ac:dyDescent="0.2">
      <c r="A16" s="3" t="s">
        <v>121</v>
      </c>
      <c r="B16" s="4" t="s">
        <v>416</v>
      </c>
      <c r="C16" t="s">
        <v>423</v>
      </c>
      <c r="D16" s="3">
        <v>38.756281000000001</v>
      </c>
      <c r="E16" s="3">
        <v>-104.74945700000001</v>
      </c>
      <c r="F16" s="4" t="s">
        <v>411</v>
      </c>
      <c r="G16" s="4" t="s">
        <v>413</v>
      </c>
      <c r="H16" s="3">
        <v>0</v>
      </c>
      <c r="I16" s="3">
        <v>44</v>
      </c>
      <c r="J16" s="3">
        <v>380</v>
      </c>
      <c r="K16" s="3">
        <v>0</v>
      </c>
      <c r="L16" s="3">
        <v>91</v>
      </c>
      <c r="M16" s="3">
        <v>70</v>
      </c>
      <c r="N16" s="7">
        <v>42464</v>
      </c>
      <c r="O16" s="3" t="s">
        <v>122</v>
      </c>
      <c r="P16" s="3" t="s">
        <v>123</v>
      </c>
    </row>
    <row r="17" spans="1:16" ht="12.75" x14ac:dyDescent="0.2">
      <c r="A17" s="3" t="s">
        <v>292</v>
      </c>
      <c r="B17" s="4" t="s">
        <v>416</v>
      </c>
      <c r="C17" t="s">
        <v>423</v>
      </c>
      <c r="D17" s="3">
        <v>38.756270000000001</v>
      </c>
      <c r="E17" s="3">
        <v>-104.749443</v>
      </c>
      <c r="F17" s="4" t="s">
        <v>411</v>
      </c>
      <c r="G17" s="4" t="s">
        <v>413</v>
      </c>
      <c r="H17" s="3">
        <v>51</v>
      </c>
      <c r="I17" s="3">
        <v>32</v>
      </c>
      <c r="J17" s="3">
        <v>290</v>
      </c>
      <c r="K17" s="3">
        <v>0</v>
      </c>
      <c r="L17" s="3">
        <v>66</v>
      </c>
      <c r="M17" s="3">
        <v>49</v>
      </c>
      <c r="N17" s="7">
        <v>42549</v>
      </c>
      <c r="O17" s="3" t="s">
        <v>293</v>
      </c>
      <c r="P17" s="3" t="s">
        <v>294</v>
      </c>
    </row>
    <row r="18" spans="1:16" ht="12.75" x14ac:dyDescent="0.2">
      <c r="A18" s="3" t="s">
        <v>208</v>
      </c>
      <c r="B18" s="4" t="s">
        <v>416</v>
      </c>
      <c r="C18" t="s">
        <v>427</v>
      </c>
      <c r="D18" s="3">
        <v>38.778080000000003</v>
      </c>
      <c r="E18" s="3">
        <v>-104.77509999999999</v>
      </c>
      <c r="F18" s="4" t="s">
        <v>411</v>
      </c>
      <c r="G18" s="4" t="s">
        <v>413</v>
      </c>
      <c r="H18" s="3">
        <v>45</v>
      </c>
      <c r="I18" s="3">
        <v>8.5</v>
      </c>
      <c r="J18" s="3">
        <v>37</v>
      </c>
      <c r="K18" s="3">
        <v>4</v>
      </c>
      <c r="L18" s="3">
        <v>14</v>
      </c>
      <c r="M18" s="3">
        <v>32</v>
      </c>
      <c r="N18" s="7">
        <v>42507</v>
      </c>
      <c r="O18" s="3" t="s">
        <v>209</v>
      </c>
      <c r="P18" s="3" t="s">
        <v>210</v>
      </c>
    </row>
    <row r="19" spans="1:16" ht="12.75" x14ac:dyDescent="0.2">
      <c r="A19" s="3" t="s">
        <v>358</v>
      </c>
      <c r="B19" s="4" t="s">
        <v>416</v>
      </c>
      <c r="C19" s="3" t="s">
        <v>432</v>
      </c>
      <c r="D19" s="3">
        <v>38.772559999999999</v>
      </c>
      <c r="E19" s="3">
        <v>-104.76864999999999</v>
      </c>
      <c r="F19" s="4" t="s">
        <v>411</v>
      </c>
      <c r="G19" s="4" t="s">
        <v>413</v>
      </c>
      <c r="H19" s="3">
        <v>11</v>
      </c>
      <c r="I19" s="3">
        <v>4.8</v>
      </c>
      <c r="J19" s="3">
        <v>22</v>
      </c>
      <c r="K19" s="3">
        <v>0</v>
      </c>
      <c r="L19" s="3">
        <v>11</v>
      </c>
      <c r="M19" s="3">
        <v>42</v>
      </c>
      <c r="N19" s="7">
        <v>42788</v>
      </c>
      <c r="O19" s="3" t="s">
        <v>359</v>
      </c>
      <c r="P19" s="3" t="s">
        <v>360</v>
      </c>
    </row>
    <row r="20" spans="1:16" ht="12.75" x14ac:dyDescent="0.2">
      <c r="A20" s="3" t="s">
        <v>205</v>
      </c>
      <c r="B20" s="4" t="s">
        <v>416</v>
      </c>
      <c r="C20" s="3" t="s">
        <v>432</v>
      </c>
      <c r="D20" s="3">
        <v>38.771360000000001</v>
      </c>
      <c r="E20" s="3">
        <v>-104.76672000000001</v>
      </c>
      <c r="F20" s="4" t="s">
        <v>411</v>
      </c>
      <c r="G20" s="4" t="s">
        <v>413</v>
      </c>
      <c r="H20" s="3">
        <v>20</v>
      </c>
      <c r="I20" s="3">
        <v>11</v>
      </c>
      <c r="J20" s="3">
        <v>43</v>
      </c>
      <c r="K20" s="3">
        <v>0</v>
      </c>
      <c r="L20" s="3">
        <v>26</v>
      </c>
      <c r="M20" s="3">
        <v>54</v>
      </c>
      <c r="N20" s="7">
        <v>42690</v>
      </c>
      <c r="O20" s="3" t="s">
        <v>206</v>
      </c>
      <c r="P20" s="3" t="s">
        <v>207</v>
      </c>
    </row>
    <row r="21" spans="1:16" ht="12.75" x14ac:dyDescent="0.2">
      <c r="A21" s="3" t="s">
        <v>355</v>
      </c>
      <c r="B21" s="4" t="s">
        <v>416</v>
      </c>
      <c r="C21" s="3" t="s">
        <v>432</v>
      </c>
      <c r="D21" s="3">
        <v>38.772421000000001</v>
      </c>
      <c r="E21" s="3">
        <v>-104.765546</v>
      </c>
      <c r="F21" s="4" t="s">
        <v>411</v>
      </c>
      <c r="G21" s="4" t="s">
        <v>413</v>
      </c>
      <c r="H21" s="3">
        <v>0</v>
      </c>
      <c r="I21" s="3">
        <v>2.7</v>
      </c>
      <c r="J21" s="3">
        <v>11</v>
      </c>
      <c r="K21" s="3">
        <v>0</v>
      </c>
      <c r="L21" s="3">
        <v>4.8</v>
      </c>
      <c r="M21" s="3">
        <v>13</v>
      </c>
      <c r="N21" s="7">
        <v>42690</v>
      </c>
      <c r="O21" s="3" t="s">
        <v>356</v>
      </c>
      <c r="P21" s="3" t="s">
        <v>357</v>
      </c>
    </row>
    <row r="22" spans="1:16" ht="12.75" x14ac:dyDescent="0.2">
      <c r="A22" s="3" t="s">
        <v>202</v>
      </c>
      <c r="B22" s="4" t="s">
        <v>416</v>
      </c>
      <c r="C22" t="s">
        <v>424</v>
      </c>
      <c r="D22" s="3">
        <v>38.765045999999998</v>
      </c>
      <c r="E22" s="3">
        <v>-104.725584</v>
      </c>
      <c r="F22" s="4" t="s">
        <v>411</v>
      </c>
      <c r="G22" s="4" t="s">
        <v>413</v>
      </c>
      <c r="H22" s="3">
        <v>0</v>
      </c>
      <c r="I22" s="3">
        <v>60</v>
      </c>
      <c r="J22" s="3">
        <v>340</v>
      </c>
      <c r="K22" s="3">
        <v>0</v>
      </c>
      <c r="L22" s="3">
        <v>70</v>
      </c>
      <c r="M22" s="3">
        <v>560</v>
      </c>
      <c r="N22" s="7">
        <v>42417</v>
      </c>
      <c r="O22" s="3" t="s">
        <v>203</v>
      </c>
      <c r="P22" s="3" t="s">
        <v>204</v>
      </c>
    </row>
    <row r="23" spans="1:16" ht="12.75" x14ac:dyDescent="0.2">
      <c r="A23" s="3" t="s">
        <v>199</v>
      </c>
      <c r="B23" s="4" t="s">
        <v>416</v>
      </c>
      <c r="C23" t="s">
        <v>424</v>
      </c>
      <c r="D23" s="3">
        <v>38.768495000000001</v>
      </c>
      <c r="E23" s="3">
        <v>-104.724431</v>
      </c>
      <c r="F23" s="4" t="s">
        <v>411</v>
      </c>
      <c r="G23" s="4" t="s">
        <v>413</v>
      </c>
      <c r="H23" s="3">
        <v>0</v>
      </c>
      <c r="I23" s="3">
        <v>50</v>
      </c>
      <c r="J23" s="3">
        <v>280</v>
      </c>
      <c r="K23" s="3">
        <v>0</v>
      </c>
      <c r="L23" s="3">
        <v>60</v>
      </c>
      <c r="M23" s="3">
        <v>560</v>
      </c>
      <c r="N23" s="7">
        <v>42417</v>
      </c>
      <c r="O23" s="3" t="s">
        <v>200</v>
      </c>
      <c r="P23" s="3" t="s">
        <v>201</v>
      </c>
    </row>
    <row r="24" spans="1:16" ht="12.75" x14ac:dyDescent="0.2">
      <c r="A24" s="3" t="s">
        <v>196</v>
      </c>
      <c r="B24" s="4" t="s">
        <v>416</v>
      </c>
      <c r="C24" t="s">
        <v>424</v>
      </c>
      <c r="D24" s="3">
        <v>38.762163000000001</v>
      </c>
      <c r="E24" s="3">
        <v>-104.72686299999999</v>
      </c>
      <c r="F24" s="4" t="s">
        <v>411</v>
      </c>
      <c r="G24" s="4" t="s">
        <v>413</v>
      </c>
      <c r="H24" s="3">
        <v>0</v>
      </c>
      <c r="I24" s="3">
        <v>40</v>
      </c>
      <c r="J24" s="3">
        <v>220</v>
      </c>
      <c r="K24" s="3">
        <v>0</v>
      </c>
      <c r="L24" s="3">
        <v>40</v>
      </c>
      <c r="M24" s="3">
        <v>400</v>
      </c>
      <c r="N24" s="7">
        <v>42417</v>
      </c>
      <c r="O24" s="3" t="s">
        <v>197</v>
      </c>
      <c r="P24" s="3" t="s">
        <v>198</v>
      </c>
    </row>
    <row r="25" spans="1:16" ht="12.75" x14ac:dyDescent="0.2">
      <c r="A25" s="3" t="s">
        <v>193</v>
      </c>
      <c r="B25" s="4" t="s">
        <v>416</v>
      </c>
      <c r="C25" t="s">
        <v>424</v>
      </c>
      <c r="D25" s="3">
        <v>38.754167000000002</v>
      </c>
      <c r="E25" s="3">
        <v>-104.74730700000001</v>
      </c>
      <c r="F25" s="4" t="s">
        <v>411</v>
      </c>
      <c r="G25" s="4" t="s">
        <v>413</v>
      </c>
      <c r="H25" s="3">
        <v>54</v>
      </c>
      <c r="I25" s="3">
        <v>28</v>
      </c>
      <c r="J25" s="3">
        <v>320</v>
      </c>
      <c r="K25" s="3">
        <v>0</v>
      </c>
      <c r="L25" s="3">
        <v>81</v>
      </c>
      <c r="M25" s="3">
        <v>72</v>
      </c>
      <c r="N25" s="7">
        <v>42466</v>
      </c>
      <c r="O25" s="3" t="s">
        <v>194</v>
      </c>
      <c r="P25" s="3" t="s">
        <v>195</v>
      </c>
    </row>
    <row r="26" spans="1:16" ht="12.75" x14ac:dyDescent="0.2">
      <c r="A26" s="3" t="s">
        <v>190</v>
      </c>
      <c r="B26" s="4" t="s">
        <v>416</v>
      </c>
      <c r="C26" t="s">
        <v>424</v>
      </c>
      <c r="D26" s="3">
        <v>38.752848</v>
      </c>
      <c r="E26" s="3">
        <v>-104.746084</v>
      </c>
      <c r="F26" s="4" t="s">
        <v>411</v>
      </c>
      <c r="G26" s="4" t="s">
        <v>413</v>
      </c>
      <c r="H26" s="3">
        <v>74</v>
      </c>
      <c r="I26" s="3">
        <v>36</v>
      </c>
      <c r="J26" s="3">
        <v>430</v>
      </c>
      <c r="K26" s="3">
        <v>0</v>
      </c>
      <c r="L26" s="3">
        <v>87</v>
      </c>
      <c r="M26" s="3">
        <v>98</v>
      </c>
      <c r="N26" s="7">
        <v>42466</v>
      </c>
      <c r="O26" s="3" t="s">
        <v>191</v>
      </c>
      <c r="P26" s="3" t="s">
        <v>192</v>
      </c>
    </row>
    <row r="27" spans="1:16" ht="12.75" x14ac:dyDescent="0.2">
      <c r="A27" s="3" t="s">
        <v>187</v>
      </c>
      <c r="B27" s="4" t="s">
        <v>416</v>
      </c>
      <c r="C27" t="s">
        <v>424</v>
      </c>
      <c r="D27" s="3">
        <v>38.755468</v>
      </c>
      <c r="E27" s="3">
        <v>-104.748796</v>
      </c>
      <c r="F27" s="4" t="s">
        <v>411</v>
      </c>
      <c r="G27" s="4" t="s">
        <v>413</v>
      </c>
      <c r="H27" s="3">
        <v>46</v>
      </c>
      <c r="I27" s="3">
        <v>27</v>
      </c>
      <c r="J27" s="3">
        <v>280</v>
      </c>
      <c r="K27" s="3">
        <v>0</v>
      </c>
      <c r="L27" s="3">
        <v>79</v>
      </c>
      <c r="M27" s="3">
        <v>54</v>
      </c>
      <c r="N27" s="7">
        <v>42466</v>
      </c>
      <c r="O27" s="3" t="s">
        <v>188</v>
      </c>
      <c r="P27" s="3" t="s">
        <v>189</v>
      </c>
    </row>
    <row r="28" spans="1:16" ht="12.75" x14ac:dyDescent="0.2">
      <c r="A28" s="3" t="s">
        <v>184</v>
      </c>
      <c r="B28" s="4" t="s">
        <v>416</v>
      </c>
      <c r="C28" t="s">
        <v>424</v>
      </c>
      <c r="D28" s="3">
        <v>38.754966000000003</v>
      </c>
      <c r="E28" s="3">
        <v>-104.74902</v>
      </c>
      <c r="F28" s="4" t="s">
        <v>411</v>
      </c>
      <c r="G28" s="4" t="s">
        <v>413</v>
      </c>
      <c r="H28" s="3">
        <v>63</v>
      </c>
      <c r="I28" s="3">
        <v>27</v>
      </c>
      <c r="J28" s="3">
        <v>360</v>
      </c>
      <c r="K28" s="3">
        <v>0</v>
      </c>
      <c r="L28" s="3">
        <v>76</v>
      </c>
      <c r="M28" s="3">
        <v>99</v>
      </c>
      <c r="N28" s="7">
        <v>42466</v>
      </c>
      <c r="O28" s="3" t="s">
        <v>185</v>
      </c>
      <c r="P28" s="3" t="s">
        <v>186</v>
      </c>
    </row>
    <row r="29" spans="1:16" ht="12.75" x14ac:dyDescent="0.2">
      <c r="A29" s="3" t="s">
        <v>181</v>
      </c>
      <c r="B29" s="4" t="s">
        <v>416</v>
      </c>
      <c r="C29" t="s">
        <v>424</v>
      </c>
      <c r="D29" s="3">
        <v>38.739167000000002</v>
      </c>
      <c r="E29" s="3">
        <v>-104.731944</v>
      </c>
      <c r="F29" s="4" t="s">
        <v>411</v>
      </c>
      <c r="G29" s="4" t="s">
        <v>413</v>
      </c>
      <c r="H29" s="3">
        <v>54</v>
      </c>
      <c r="I29" s="3">
        <v>21</v>
      </c>
      <c r="J29" s="3">
        <v>200</v>
      </c>
      <c r="K29" s="3">
        <v>0</v>
      </c>
      <c r="L29" s="3">
        <v>47</v>
      </c>
      <c r="M29" s="3">
        <v>74</v>
      </c>
      <c r="N29" s="7">
        <v>42481</v>
      </c>
      <c r="O29" s="3" t="s">
        <v>182</v>
      </c>
      <c r="P29" s="3" t="s">
        <v>183</v>
      </c>
    </row>
    <row r="30" spans="1:16" ht="12.75" x14ac:dyDescent="0.2">
      <c r="A30" s="3" t="s">
        <v>178</v>
      </c>
      <c r="B30" s="4" t="s">
        <v>416</v>
      </c>
      <c r="C30" t="s">
        <v>424</v>
      </c>
      <c r="D30" s="3">
        <v>38.754545999999998</v>
      </c>
      <c r="E30" s="3">
        <v>-104.74604100000001</v>
      </c>
      <c r="F30" s="4" t="s">
        <v>411</v>
      </c>
      <c r="G30" s="4" t="s">
        <v>413</v>
      </c>
      <c r="H30" s="3">
        <v>38</v>
      </c>
      <c r="I30" s="3">
        <v>22</v>
      </c>
      <c r="J30" s="3">
        <v>200</v>
      </c>
      <c r="K30" s="3">
        <v>0</v>
      </c>
      <c r="L30" s="3">
        <v>57</v>
      </c>
      <c r="M30" s="3">
        <v>46</v>
      </c>
      <c r="N30" s="7">
        <v>42466</v>
      </c>
      <c r="O30" s="3" t="s">
        <v>179</v>
      </c>
      <c r="P30" s="3" t="s">
        <v>180</v>
      </c>
    </row>
    <row r="31" spans="1:16" ht="12.75" x14ac:dyDescent="0.2">
      <c r="A31" s="3" t="s">
        <v>175</v>
      </c>
      <c r="B31" s="4" t="s">
        <v>416</v>
      </c>
      <c r="C31" t="s">
        <v>424</v>
      </c>
      <c r="D31" s="3">
        <v>38.757463000000001</v>
      </c>
      <c r="E31" s="3">
        <v>-104.749596</v>
      </c>
      <c r="F31" s="4" t="s">
        <v>411</v>
      </c>
      <c r="G31" s="4" t="s">
        <v>413</v>
      </c>
      <c r="H31" s="3">
        <v>45</v>
      </c>
      <c r="I31" s="3">
        <v>18</v>
      </c>
      <c r="J31" s="3">
        <v>160</v>
      </c>
      <c r="K31" s="3">
        <v>0</v>
      </c>
      <c r="L31" s="3">
        <v>32</v>
      </c>
      <c r="M31" s="3">
        <v>88</v>
      </c>
      <c r="N31" s="7">
        <v>42466</v>
      </c>
      <c r="O31" s="3" t="s">
        <v>176</v>
      </c>
      <c r="P31" s="3" t="s">
        <v>177</v>
      </c>
    </row>
    <row r="32" spans="1:16" ht="12.75" x14ac:dyDescent="0.2">
      <c r="A32" s="3" t="s">
        <v>172</v>
      </c>
      <c r="B32" s="4" t="s">
        <v>416</v>
      </c>
      <c r="C32" t="s">
        <v>424</v>
      </c>
      <c r="D32" s="3">
        <v>38.756850999999997</v>
      </c>
      <c r="E32" s="3">
        <v>-104.748227</v>
      </c>
      <c r="F32" s="4" t="s">
        <v>411</v>
      </c>
      <c r="G32" s="4" t="s">
        <v>413</v>
      </c>
      <c r="H32" s="3">
        <v>42</v>
      </c>
      <c r="I32" s="3">
        <v>18</v>
      </c>
      <c r="J32" s="3">
        <v>150</v>
      </c>
      <c r="K32" s="3">
        <v>0</v>
      </c>
      <c r="L32" s="3">
        <v>31</v>
      </c>
      <c r="M32" s="3">
        <v>86</v>
      </c>
      <c r="N32" s="7">
        <v>42466</v>
      </c>
      <c r="O32" s="3" t="s">
        <v>173</v>
      </c>
      <c r="P32" s="3" t="s">
        <v>174</v>
      </c>
    </row>
    <row r="33" spans="1:16" ht="12.75" x14ac:dyDescent="0.2">
      <c r="A33" s="3" t="s">
        <v>169</v>
      </c>
      <c r="B33" s="4" t="s">
        <v>416</v>
      </c>
      <c r="C33" t="s">
        <v>424</v>
      </c>
      <c r="D33" s="3">
        <v>38.749622000000002</v>
      </c>
      <c r="E33" s="3">
        <v>-104.740971</v>
      </c>
      <c r="F33" s="4" t="s">
        <v>411</v>
      </c>
      <c r="G33" s="4" t="s">
        <v>413</v>
      </c>
      <c r="H33" s="3">
        <v>62</v>
      </c>
      <c r="I33" s="3">
        <v>35</v>
      </c>
      <c r="J33" s="3">
        <v>380</v>
      </c>
      <c r="K33" s="3">
        <v>0</v>
      </c>
      <c r="L33" s="3">
        <v>87</v>
      </c>
      <c r="M33" s="3">
        <v>61</v>
      </c>
      <c r="N33" s="7">
        <v>42481</v>
      </c>
      <c r="O33" s="3" t="s">
        <v>170</v>
      </c>
      <c r="P33" s="3" t="s">
        <v>171</v>
      </c>
    </row>
    <row r="34" spans="1:16" ht="12.75" x14ac:dyDescent="0.2">
      <c r="A34" s="3" t="s">
        <v>166</v>
      </c>
      <c r="B34" s="4" t="s">
        <v>416</v>
      </c>
      <c r="C34" t="s">
        <v>424</v>
      </c>
      <c r="D34" s="3">
        <v>38.744580999999997</v>
      </c>
      <c r="E34" s="3">
        <v>-104.73671</v>
      </c>
      <c r="F34" s="4" t="s">
        <v>411</v>
      </c>
      <c r="G34" s="4" t="s">
        <v>413</v>
      </c>
      <c r="H34" s="3">
        <v>78</v>
      </c>
      <c r="I34" s="3">
        <v>23</v>
      </c>
      <c r="J34" s="3">
        <v>370</v>
      </c>
      <c r="K34" s="3">
        <v>0</v>
      </c>
      <c r="L34" s="3">
        <v>52</v>
      </c>
      <c r="M34" s="3">
        <v>83</v>
      </c>
      <c r="N34" s="7">
        <v>42466</v>
      </c>
      <c r="O34" s="3" t="s">
        <v>167</v>
      </c>
      <c r="P34" s="3" t="s">
        <v>168</v>
      </c>
    </row>
    <row r="35" spans="1:16" ht="12.75" x14ac:dyDescent="0.2">
      <c r="A35" s="3" t="s">
        <v>163</v>
      </c>
      <c r="B35" s="4" t="s">
        <v>416</v>
      </c>
      <c r="C35" t="s">
        <v>424</v>
      </c>
      <c r="D35" s="3">
        <v>38.749845000000001</v>
      </c>
      <c r="E35" s="3">
        <v>-104.74178000000001</v>
      </c>
      <c r="F35" s="4" t="s">
        <v>411</v>
      </c>
      <c r="G35" s="4" t="s">
        <v>413</v>
      </c>
      <c r="H35" s="3">
        <v>79</v>
      </c>
      <c r="I35" s="3">
        <v>36</v>
      </c>
      <c r="J35" s="3">
        <v>480</v>
      </c>
      <c r="K35" s="3">
        <v>0</v>
      </c>
      <c r="L35" s="3">
        <v>85</v>
      </c>
      <c r="M35" s="3">
        <v>77</v>
      </c>
      <c r="N35" s="7">
        <v>42466</v>
      </c>
      <c r="O35" s="3" t="s">
        <v>164</v>
      </c>
      <c r="P35" s="3" t="s">
        <v>165</v>
      </c>
    </row>
    <row r="36" spans="1:16" ht="12.75" x14ac:dyDescent="0.2">
      <c r="A36" s="3" t="s">
        <v>160</v>
      </c>
      <c r="B36" s="4" t="s">
        <v>416</v>
      </c>
      <c r="C36" t="s">
        <v>424</v>
      </c>
      <c r="D36" s="3">
        <v>38.752049999999997</v>
      </c>
      <c r="E36" s="3">
        <v>-104.743776</v>
      </c>
      <c r="F36" s="4" t="s">
        <v>411</v>
      </c>
      <c r="G36" s="4" t="s">
        <v>413</v>
      </c>
      <c r="H36" s="3">
        <v>51</v>
      </c>
      <c r="I36" s="3">
        <v>32</v>
      </c>
      <c r="J36" s="3">
        <v>320</v>
      </c>
      <c r="K36" s="3">
        <v>0</v>
      </c>
      <c r="L36" s="3">
        <v>86</v>
      </c>
      <c r="M36" s="3">
        <v>50</v>
      </c>
      <c r="N36" s="7">
        <v>42466</v>
      </c>
      <c r="O36" s="3" t="s">
        <v>161</v>
      </c>
      <c r="P36" s="3" t="s">
        <v>162</v>
      </c>
    </row>
    <row r="37" spans="1:16" ht="12.75" x14ac:dyDescent="0.2">
      <c r="A37" s="3" t="s">
        <v>157</v>
      </c>
      <c r="B37" s="4" t="s">
        <v>416</v>
      </c>
      <c r="C37" t="s">
        <v>424</v>
      </c>
      <c r="D37" s="3">
        <v>38.769514000000001</v>
      </c>
      <c r="E37" s="3">
        <v>-104.76021</v>
      </c>
      <c r="F37" s="4" t="s">
        <v>411</v>
      </c>
      <c r="G37" s="4" t="s">
        <v>413</v>
      </c>
      <c r="H37" s="3">
        <v>180</v>
      </c>
      <c r="I37" s="3">
        <v>37</v>
      </c>
      <c r="J37" s="3">
        <v>600</v>
      </c>
      <c r="K37" s="3">
        <v>0</v>
      </c>
      <c r="L37" s="3">
        <v>63</v>
      </c>
      <c r="M37" s="3">
        <v>520</v>
      </c>
      <c r="N37" s="7">
        <v>42466</v>
      </c>
      <c r="O37" s="3" t="s">
        <v>158</v>
      </c>
      <c r="P37" s="3" t="s">
        <v>159</v>
      </c>
    </row>
    <row r="38" spans="1:16" ht="12.75" x14ac:dyDescent="0.2">
      <c r="A38" s="3" t="s">
        <v>154</v>
      </c>
      <c r="B38" s="4" t="s">
        <v>416</v>
      </c>
      <c r="C38" t="s">
        <v>424</v>
      </c>
      <c r="D38" s="3">
        <v>38.768341999999997</v>
      </c>
      <c r="E38" s="3">
        <v>-104.759092</v>
      </c>
      <c r="F38" s="4" t="s">
        <v>411</v>
      </c>
      <c r="G38" s="4" t="s">
        <v>413</v>
      </c>
      <c r="H38" s="3">
        <v>84</v>
      </c>
      <c r="I38" s="3">
        <v>36</v>
      </c>
      <c r="J38" s="3">
        <v>410</v>
      </c>
      <c r="K38" s="3">
        <v>0</v>
      </c>
      <c r="L38" s="3">
        <v>96</v>
      </c>
      <c r="M38" s="3">
        <v>160</v>
      </c>
      <c r="N38" s="7">
        <v>42466</v>
      </c>
      <c r="O38" s="3" t="s">
        <v>155</v>
      </c>
      <c r="P38" s="3" t="s">
        <v>156</v>
      </c>
    </row>
    <row r="39" spans="1:16" ht="12.75" x14ac:dyDescent="0.2">
      <c r="A39" s="3" t="s">
        <v>151</v>
      </c>
      <c r="B39" s="4" t="s">
        <v>416</v>
      </c>
      <c r="C39" t="s">
        <v>424</v>
      </c>
      <c r="D39" s="3">
        <v>38.766111000000002</v>
      </c>
      <c r="E39" s="3">
        <v>-104.756944</v>
      </c>
      <c r="F39" s="4" t="s">
        <v>411</v>
      </c>
      <c r="G39" s="4" t="s">
        <v>413</v>
      </c>
      <c r="H39" s="3">
        <v>42</v>
      </c>
      <c r="I39" s="3">
        <v>17</v>
      </c>
      <c r="J39" s="3">
        <v>160</v>
      </c>
      <c r="K39" s="3">
        <v>0</v>
      </c>
      <c r="L39" s="3">
        <v>32</v>
      </c>
      <c r="M39" s="3">
        <v>110</v>
      </c>
      <c r="N39" s="7">
        <v>42466</v>
      </c>
      <c r="O39" s="3" t="s">
        <v>152</v>
      </c>
      <c r="P39" s="3" t="s">
        <v>153</v>
      </c>
    </row>
    <row r="40" spans="1:16" ht="12.75" x14ac:dyDescent="0.2">
      <c r="A40" s="3" t="s">
        <v>148</v>
      </c>
      <c r="B40" s="4" t="s">
        <v>416</v>
      </c>
      <c r="C40" t="s">
        <v>424</v>
      </c>
      <c r="D40" s="3">
        <v>38.763888999999999</v>
      </c>
      <c r="E40" s="3">
        <v>-104.755</v>
      </c>
      <c r="F40" s="4" t="s">
        <v>411</v>
      </c>
      <c r="G40" s="4" t="s">
        <v>413</v>
      </c>
      <c r="H40" s="3">
        <v>37</v>
      </c>
      <c r="I40" s="3">
        <v>20</v>
      </c>
      <c r="J40" s="3">
        <v>130</v>
      </c>
      <c r="K40" s="3">
        <v>0</v>
      </c>
      <c r="L40" s="3">
        <v>35</v>
      </c>
      <c r="M40" s="3">
        <v>130</v>
      </c>
      <c r="N40" s="7">
        <v>42471</v>
      </c>
      <c r="O40" s="3" t="s">
        <v>149</v>
      </c>
      <c r="P40" s="3" t="s">
        <v>150</v>
      </c>
    </row>
    <row r="41" spans="1:16" ht="12.75" x14ac:dyDescent="0.2">
      <c r="A41" s="3" t="s">
        <v>145</v>
      </c>
      <c r="B41" s="4" t="s">
        <v>416</v>
      </c>
      <c r="C41" t="s">
        <v>424</v>
      </c>
      <c r="D41" s="3">
        <v>38.737392</v>
      </c>
      <c r="E41" s="3">
        <v>-104.730301</v>
      </c>
      <c r="F41" s="4" t="s">
        <v>411</v>
      </c>
      <c r="G41" s="4" t="s">
        <v>413</v>
      </c>
      <c r="H41" s="3">
        <v>52</v>
      </c>
      <c r="I41" s="3">
        <v>18</v>
      </c>
      <c r="J41" s="3">
        <v>140</v>
      </c>
      <c r="K41" s="3">
        <v>0</v>
      </c>
      <c r="L41" s="3">
        <v>29</v>
      </c>
      <c r="M41" s="3">
        <v>120</v>
      </c>
      <c r="N41" s="7">
        <v>42466</v>
      </c>
      <c r="O41" s="3" t="s">
        <v>146</v>
      </c>
      <c r="P41" s="3" t="s">
        <v>147</v>
      </c>
    </row>
    <row r="42" spans="1:16" ht="12.75" x14ac:dyDescent="0.2">
      <c r="A42" s="3" t="s">
        <v>142</v>
      </c>
      <c r="B42" s="4" t="s">
        <v>416</v>
      </c>
      <c r="C42" t="s">
        <v>424</v>
      </c>
      <c r="D42" s="3">
        <v>38.737777999999999</v>
      </c>
      <c r="E42" s="3">
        <v>-104.73222199999999</v>
      </c>
      <c r="F42" s="4" t="s">
        <v>411</v>
      </c>
      <c r="G42" s="4" t="s">
        <v>413</v>
      </c>
      <c r="H42" s="3">
        <v>90</v>
      </c>
      <c r="I42" s="3">
        <v>24</v>
      </c>
      <c r="J42" s="3">
        <v>370</v>
      </c>
      <c r="K42" s="3">
        <v>0</v>
      </c>
      <c r="L42" s="3">
        <v>52</v>
      </c>
      <c r="M42" s="3">
        <v>73</v>
      </c>
      <c r="N42" s="7">
        <v>42466</v>
      </c>
      <c r="O42" s="3" t="s">
        <v>143</v>
      </c>
      <c r="P42" s="3" t="s">
        <v>144</v>
      </c>
    </row>
    <row r="43" spans="1:16" ht="12.75" x14ac:dyDescent="0.2">
      <c r="A43" s="3" t="s">
        <v>139</v>
      </c>
      <c r="B43" s="4" t="s">
        <v>416</v>
      </c>
      <c r="C43" t="s">
        <v>424</v>
      </c>
      <c r="D43" s="3">
        <v>38.740833000000002</v>
      </c>
      <c r="E43" s="3">
        <v>-104.735</v>
      </c>
      <c r="F43" s="4" t="s">
        <v>411</v>
      </c>
      <c r="G43" s="4" t="s">
        <v>413</v>
      </c>
      <c r="H43" s="3">
        <v>110</v>
      </c>
      <c r="I43" s="3">
        <v>23</v>
      </c>
      <c r="J43" s="3">
        <v>420</v>
      </c>
      <c r="K43" s="3">
        <v>0</v>
      </c>
      <c r="L43" s="3">
        <v>45</v>
      </c>
      <c r="M43" s="3">
        <v>72</v>
      </c>
      <c r="N43" s="7">
        <v>42466</v>
      </c>
      <c r="O43" s="3" t="s">
        <v>140</v>
      </c>
      <c r="P43" s="3" t="s">
        <v>141</v>
      </c>
    </row>
    <row r="44" spans="1:16" ht="12.75" x14ac:dyDescent="0.2">
      <c r="A44" s="3" t="s">
        <v>136</v>
      </c>
      <c r="B44" s="4" t="s">
        <v>416</v>
      </c>
      <c r="C44" t="s">
        <v>425</v>
      </c>
      <c r="D44" s="3">
        <v>38.747953000000003</v>
      </c>
      <c r="E44" s="3">
        <v>-104.741607</v>
      </c>
      <c r="F44" s="4" t="s">
        <v>411</v>
      </c>
      <c r="G44" s="4" t="s">
        <v>413</v>
      </c>
      <c r="H44" s="3">
        <v>110</v>
      </c>
      <c r="I44" s="3">
        <v>17</v>
      </c>
      <c r="J44" s="3">
        <v>380</v>
      </c>
      <c r="K44" s="3">
        <v>0</v>
      </c>
      <c r="L44" s="3">
        <v>33</v>
      </c>
      <c r="M44" s="3">
        <v>70</v>
      </c>
      <c r="N44" s="7">
        <v>42419</v>
      </c>
      <c r="O44" s="3" t="s">
        <v>137</v>
      </c>
      <c r="P44" s="3" t="s">
        <v>138</v>
      </c>
    </row>
    <row r="45" spans="1:16" ht="12.75" x14ac:dyDescent="0.2">
      <c r="A45" s="3" t="s">
        <v>133</v>
      </c>
      <c r="B45" s="4" t="s">
        <v>416</v>
      </c>
      <c r="C45" t="s">
        <v>425</v>
      </c>
      <c r="D45" s="3">
        <v>38.747953000000003</v>
      </c>
      <c r="E45" s="3">
        <v>-104.741607</v>
      </c>
      <c r="F45" s="4" t="s">
        <v>411</v>
      </c>
      <c r="G45" s="4" t="s">
        <v>413</v>
      </c>
      <c r="H45" s="3">
        <v>200</v>
      </c>
      <c r="I45" s="3">
        <v>50</v>
      </c>
      <c r="J45" s="3">
        <v>670</v>
      </c>
      <c r="K45" s="3">
        <v>5.4</v>
      </c>
      <c r="L45" s="3">
        <v>71</v>
      </c>
      <c r="M45" s="3">
        <v>170</v>
      </c>
      <c r="N45" s="7">
        <v>42507</v>
      </c>
      <c r="O45" s="3" t="s">
        <v>134</v>
      </c>
      <c r="P45" s="3" t="s">
        <v>135</v>
      </c>
    </row>
    <row r="46" spans="1:16" ht="12.75" x14ac:dyDescent="0.2">
      <c r="A46" s="3" t="s">
        <v>130</v>
      </c>
      <c r="B46" s="4" t="s">
        <v>416</v>
      </c>
      <c r="C46" t="s">
        <v>425</v>
      </c>
      <c r="D46" s="3">
        <v>38.747957999999997</v>
      </c>
      <c r="E46" s="3">
        <v>-104.74154</v>
      </c>
      <c r="F46" s="4" t="s">
        <v>411</v>
      </c>
      <c r="G46" s="4" t="s">
        <v>413</v>
      </c>
      <c r="H46" s="3">
        <v>180</v>
      </c>
      <c r="I46" s="3">
        <v>42</v>
      </c>
      <c r="J46" s="3">
        <v>560</v>
      </c>
      <c r="K46" s="3">
        <v>5.3</v>
      </c>
      <c r="L46" s="3">
        <v>62</v>
      </c>
      <c r="M46" s="3">
        <v>130</v>
      </c>
      <c r="N46" s="7">
        <v>42507</v>
      </c>
      <c r="O46" s="3" t="s">
        <v>131</v>
      </c>
      <c r="P46" s="3" t="s">
        <v>132</v>
      </c>
    </row>
    <row r="47" spans="1:16" ht="12.75" x14ac:dyDescent="0.2">
      <c r="A47" s="3" t="s">
        <v>127</v>
      </c>
      <c r="B47" s="4" t="s">
        <v>416</v>
      </c>
      <c r="C47" t="s">
        <v>424</v>
      </c>
      <c r="D47" s="3">
        <v>38.746667000000002</v>
      </c>
      <c r="E47" s="3">
        <v>-104.7375</v>
      </c>
      <c r="F47" s="4" t="s">
        <v>411</v>
      </c>
      <c r="G47" s="4" t="s">
        <v>413</v>
      </c>
      <c r="H47" s="3">
        <v>52</v>
      </c>
      <c r="I47" s="3">
        <v>27</v>
      </c>
      <c r="J47" s="3">
        <v>260</v>
      </c>
      <c r="K47" s="3">
        <v>0</v>
      </c>
      <c r="L47" s="3">
        <v>56</v>
      </c>
      <c r="M47" s="3">
        <v>65</v>
      </c>
      <c r="N47" s="7">
        <v>42471</v>
      </c>
      <c r="O47" s="3" t="s">
        <v>128</v>
      </c>
      <c r="P47" s="3" t="s">
        <v>129</v>
      </c>
    </row>
    <row r="48" spans="1:16" ht="12.75" x14ac:dyDescent="0.2">
      <c r="A48" s="3" t="s">
        <v>124</v>
      </c>
      <c r="B48" s="4" t="s">
        <v>416</v>
      </c>
      <c r="C48" t="s">
        <v>424</v>
      </c>
      <c r="D48" s="3">
        <v>38.766461</v>
      </c>
      <c r="E48" s="3">
        <v>-104.759468</v>
      </c>
      <c r="F48" s="4" t="s">
        <v>411</v>
      </c>
      <c r="G48" s="4" t="s">
        <v>413</v>
      </c>
      <c r="H48" s="3">
        <v>90</v>
      </c>
      <c r="I48" s="3">
        <v>38</v>
      </c>
      <c r="J48" s="3">
        <v>440</v>
      </c>
      <c r="K48" s="3">
        <v>0</v>
      </c>
      <c r="L48" s="3">
        <v>94</v>
      </c>
      <c r="M48" s="3">
        <v>170</v>
      </c>
      <c r="N48" s="7">
        <v>42466</v>
      </c>
      <c r="O48" s="3" t="s">
        <v>125</v>
      </c>
      <c r="P48" s="3" t="s">
        <v>126</v>
      </c>
    </row>
    <row r="49" spans="1:16" ht="12.75" x14ac:dyDescent="0.2">
      <c r="A49" s="3" t="s">
        <v>283</v>
      </c>
      <c r="B49" s="4" t="s">
        <v>416</v>
      </c>
      <c r="C49" t="s">
        <v>429</v>
      </c>
      <c r="D49" s="3">
        <v>38.747999999999998</v>
      </c>
      <c r="E49" s="3">
        <v>-104.7428</v>
      </c>
      <c r="F49" s="4" t="s">
        <v>411</v>
      </c>
      <c r="G49" s="4" t="s">
        <v>413</v>
      </c>
      <c r="H49" s="3">
        <v>230</v>
      </c>
      <c r="I49" s="3">
        <v>44</v>
      </c>
      <c r="J49" s="3">
        <v>740</v>
      </c>
      <c r="K49" s="3">
        <v>0</v>
      </c>
      <c r="L49" s="3">
        <v>63</v>
      </c>
      <c r="M49" s="3">
        <v>140</v>
      </c>
      <c r="N49" s="7">
        <v>42460</v>
      </c>
      <c r="O49" s="3" t="s">
        <v>284</v>
      </c>
      <c r="P49" s="3" t="s">
        <v>285</v>
      </c>
    </row>
    <row r="50" spans="1:16" ht="12.75" x14ac:dyDescent="0.2">
      <c r="A50" s="3" t="s">
        <v>397</v>
      </c>
      <c r="B50" s="4" t="s">
        <v>416</v>
      </c>
      <c r="C50" s="3"/>
      <c r="D50" s="3">
        <v>38.779994799999997</v>
      </c>
      <c r="E50" s="3">
        <v>-104.7630284</v>
      </c>
      <c r="F50" s="4" t="s">
        <v>411</v>
      </c>
      <c r="G50" s="4" t="s">
        <v>413</v>
      </c>
      <c r="H50" s="3">
        <v>0</v>
      </c>
      <c r="I50" s="3">
        <v>0</v>
      </c>
      <c r="J50" s="3">
        <v>10</v>
      </c>
      <c r="K50" s="3">
        <v>0</v>
      </c>
      <c r="L50" s="3">
        <v>4</v>
      </c>
      <c r="M50" s="3">
        <v>18</v>
      </c>
      <c r="N50" s="7">
        <v>42781</v>
      </c>
      <c r="O50" s="3" t="s">
        <v>398</v>
      </c>
      <c r="P50" s="3" t="s">
        <v>399</v>
      </c>
    </row>
    <row r="51" spans="1:16" ht="12.75" x14ac:dyDescent="0.2">
      <c r="A51" s="3" t="s">
        <v>61</v>
      </c>
      <c r="B51" s="4" t="s">
        <v>416</v>
      </c>
      <c r="C51" s="3"/>
      <c r="D51" s="3">
        <v>38.773766000000002</v>
      </c>
      <c r="E51" s="3">
        <v>-104.764859</v>
      </c>
      <c r="F51" s="4" t="s">
        <v>411</v>
      </c>
      <c r="G51" s="4" t="s">
        <v>413</v>
      </c>
      <c r="H51" s="3">
        <v>9</v>
      </c>
      <c r="I51" s="3">
        <v>4</v>
      </c>
      <c r="J51" s="3">
        <v>13</v>
      </c>
      <c r="K51" s="3">
        <v>0</v>
      </c>
      <c r="L51" s="3">
        <v>8</v>
      </c>
      <c r="M51" s="3">
        <v>9</v>
      </c>
      <c r="N51" s="7">
        <v>42437</v>
      </c>
      <c r="O51" s="3" t="s">
        <v>62</v>
      </c>
      <c r="P51" s="3" t="s">
        <v>63</v>
      </c>
    </row>
    <row r="52" spans="1:16" ht="12.75" x14ac:dyDescent="0.2">
      <c r="A52" s="3" t="s">
        <v>394</v>
      </c>
      <c r="B52" s="4" t="s">
        <v>416</v>
      </c>
      <c r="C52" s="3"/>
      <c r="D52" s="3">
        <v>38.788327600000002</v>
      </c>
      <c r="E52" s="3">
        <v>-104.777473</v>
      </c>
      <c r="F52" s="4" t="s">
        <v>411</v>
      </c>
      <c r="G52" s="4" t="s">
        <v>413</v>
      </c>
      <c r="H52" s="3">
        <v>15</v>
      </c>
      <c r="I52" s="3">
        <v>4</v>
      </c>
      <c r="J52" s="3">
        <v>15</v>
      </c>
      <c r="K52" s="3">
        <v>0</v>
      </c>
      <c r="L52" s="3">
        <v>9</v>
      </c>
      <c r="M52" s="3">
        <v>26</v>
      </c>
      <c r="N52" s="7">
        <v>42781</v>
      </c>
      <c r="O52" s="3" t="s">
        <v>395</v>
      </c>
      <c r="P52" s="3" t="s">
        <v>396</v>
      </c>
    </row>
    <row r="53" spans="1:16" ht="12.75" x14ac:dyDescent="0.2">
      <c r="A53" s="3" t="s">
        <v>58</v>
      </c>
      <c r="B53" s="4" t="s">
        <v>416</v>
      </c>
      <c r="C53" s="3"/>
      <c r="D53" s="3">
        <v>38.765701</v>
      </c>
      <c r="E53" s="3">
        <v>-104.760926</v>
      </c>
      <c r="F53" s="4" t="s">
        <v>411</v>
      </c>
      <c r="G53" s="4" t="s">
        <v>413</v>
      </c>
      <c r="H53" s="3">
        <v>110</v>
      </c>
      <c r="I53" s="3">
        <v>22</v>
      </c>
      <c r="J53" s="3">
        <v>410</v>
      </c>
      <c r="K53" s="3">
        <v>0</v>
      </c>
      <c r="L53" s="3">
        <v>38</v>
      </c>
      <c r="M53" s="3">
        <v>290</v>
      </c>
      <c r="N53" s="7">
        <v>42466</v>
      </c>
      <c r="O53" s="3" t="s">
        <v>59</v>
      </c>
      <c r="P53" s="3" t="s">
        <v>60</v>
      </c>
    </row>
    <row r="54" spans="1:16" ht="12.75" x14ac:dyDescent="0.2">
      <c r="A54" s="3" t="s">
        <v>55</v>
      </c>
      <c r="B54" s="4" t="s">
        <v>416</v>
      </c>
      <c r="C54" s="3"/>
      <c r="D54" s="3">
        <v>38.787078000000001</v>
      </c>
      <c r="E54" s="3">
        <v>-104.754322</v>
      </c>
      <c r="F54" s="4" t="s">
        <v>411</v>
      </c>
      <c r="G54" s="4" t="s">
        <v>413</v>
      </c>
      <c r="H54" s="3">
        <v>20</v>
      </c>
      <c r="I54" s="3">
        <v>12</v>
      </c>
      <c r="J54" s="3">
        <v>93</v>
      </c>
      <c r="K54" s="3">
        <v>0</v>
      </c>
      <c r="L54" s="3">
        <v>13</v>
      </c>
      <c r="M54" s="3">
        <v>41</v>
      </c>
      <c r="N54" s="7">
        <v>42494</v>
      </c>
      <c r="O54" s="3" t="s">
        <v>56</v>
      </c>
      <c r="P54" s="3" t="s">
        <v>57</v>
      </c>
    </row>
    <row r="55" spans="1:16" ht="12.75" x14ac:dyDescent="0.2">
      <c r="A55" s="3" t="s">
        <v>391</v>
      </c>
      <c r="B55" s="4" t="s">
        <v>416</v>
      </c>
      <c r="C55" s="3"/>
      <c r="D55" s="3">
        <v>38.777494500000003</v>
      </c>
      <c r="E55" s="3">
        <v>-104.771084</v>
      </c>
      <c r="F55" s="4" t="s">
        <v>411</v>
      </c>
      <c r="G55" s="4" t="s">
        <v>413</v>
      </c>
      <c r="H55" s="3">
        <v>0</v>
      </c>
      <c r="I55" s="3">
        <v>2</v>
      </c>
      <c r="J55" s="3">
        <v>15</v>
      </c>
      <c r="K55" s="3">
        <v>0</v>
      </c>
      <c r="L55" s="3">
        <v>4</v>
      </c>
      <c r="M55" s="3">
        <v>28</v>
      </c>
      <c r="N55" s="7">
        <v>42781</v>
      </c>
      <c r="O55" s="3" t="s">
        <v>392</v>
      </c>
      <c r="P55" s="3" t="s">
        <v>393</v>
      </c>
    </row>
    <row r="56" spans="1:16" ht="12.75" x14ac:dyDescent="0.2">
      <c r="A56" s="3" t="s">
        <v>52</v>
      </c>
      <c r="B56" s="4" t="s">
        <v>416</v>
      </c>
      <c r="C56" s="3"/>
      <c r="D56" s="3">
        <v>38.778542000000002</v>
      </c>
      <c r="E56" s="3">
        <v>-104.738039</v>
      </c>
      <c r="F56" s="4" t="s">
        <v>411</v>
      </c>
      <c r="G56" s="4" t="s">
        <v>413</v>
      </c>
      <c r="H56" s="3">
        <v>21</v>
      </c>
      <c r="I56" s="3">
        <v>0</v>
      </c>
      <c r="J56" s="3">
        <v>6.9</v>
      </c>
      <c r="K56" s="3">
        <v>0</v>
      </c>
      <c r="L56" s="3">
        <v>0</v>
      </c>
      <c r="M56" s="3">
        <v>0</v>
      </c>
      <c r="N56" s="7">
        <v>42494</v>
      </c>
      <c r="O56" s="3" t="s">
        <v>53</v>
      </c>
      <c r="P56" s="3" t="s">
        <v>54</v>
      </c>
    </row>
    <row r="57" spans="1:16" ht="12.75" x14ac:dyDescent="0.2">
      <c r="A57" s="3" t="s">
        <v>49</v>
      </c>
      <c r="B57" s="4" t="s">
        <v>416</v>
      </c>
      <c r="C57" s="3"/>
      <c r="D57" s="3">
        <v>38.794680999999997</v>
      </c>
      <c r="E57" s="3">
        <v>-104.706928</v>
      </c>
      <c r="F57" s="4" t="s">
        <v>411</v>
      </c>
      <c r="G57" s="4" t="s">
        <v>413</v>
      </c>
      <c r="H57" s="3">
        <v>240</v>
      </c>
      <c r="I57" s="3">
        <v>200</v>
      </c>
      <c r="J57" s="3">
        <v>970</v>
      </c>
      <c r="K57" s="3">
        <v>25</v>
      </c>
      <c r="L57" s="3">
        <v>200</v>
      </c>
      <c r="M57" s="3">
        <v>1600</v>
      </c>
      <c r="N57" s="7">
        <v>42494</v>
      </c>
      <c r="O57" s="3" t="s">
        <v>50</v>
      </c>
      <c r="P57" s="3" t="s">
        <v>51</v>
      </c>
    </row>
    <row r="58" spans="1:16" ht="12.75" x14ac:dyDescent="0.2">
      <c r="A58" s="3" t="s">
        <v>388</v>
      </c>
      <c r="B58" s="4" t="s">
        <v>416</v>
      </c>
      <c r="C58" s="3"/>
      <c r="D58" s="3">
        <v>38.7355515</v>
      </c>
      <c r="E58" s="3">
        <v>-104.71358290000001</v>
      </c>
      <c r="F58" s="4" t="s">
        <v>411</v>
      </c>
      <c r="G58" s="4" t="s">
        <v>413</v>
      </c>
      <c r="H58" s="3">
        <v>20</v>
      </c>
      <c r="I58" s="3">
        <v>6</v>
      </c>
      <c r="J58" s="3">
        <v>49</v>
      </c>
      <c r="K58" s="3">
        <v>0</v>
      </c>
      <c r="L58" s="3">
        <v>30</v>
      </c>
      <c r="M58" s="3">
        <v>36</v>
      </c>
      <c r="N58" s="7">
        <v>42782</v>
      </c>
      <c r="O58" s="3" t="s">
        <v>389</v>
      </c>
      <c r="P58" s="3" t="s">
        <v>390</v>
      </c>
    </row>
    <row r="59" spans="1:16" ht="12.75" x14ac:dyDescent="0.2">
      <c r="A59" s="3" t="s">
        <v>46</v>
      </c>
      <c r="B59" s="4" t="s">
        <v>416</v>
      </c>
      <c r="C59" t="s">
        <v>421</v>
      </c>
      <c r="D59" s="3">
        <v>38.796149999999997</v>
      </c>
      <c r="E59" s="3">
        <v>-104.79104</v>
      </c>
      <c r="F59" s="4" t="s">
        <v>411</v>
      </c>
      <c r="G59" s="4" t="s">
        <v>413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7">
        <v>42423</v>
      </c>
      <c r="O59" s="3" t="s">
        <v>47</v>
      </c>
      <c r="P59" s="3" t="s">
        <v>48</v>
      </c>
    </row>
    <row r="60" spans="1:16" ht="12.75" x14ac:dyDescent="0.2">
      <c r="A60" s="3" t="s">
        <v>43</v>
      </c>
      <c r="B60" s="4" t="s">
        <v>416</v>
      </c>
      <c r="C60" t="s">
        <v>421</v>
      </c>
      <c r="D60" s="3">
        <v>38.79748</v>
      </c>
      <c r="E60" s="3">
        <v>-104.794166</v>
      </c>
      <c r="F60" s="4" t="s">
        <v>411</v>
      </c>
      <c r="G60" s="4" t="s">
        <v>413</v>
      </c>
      <c r="H60" s="3">
        <v>48</v>
      </c>
      <c r="I60" s="3">
        <v>5.5</v>
      </c>
      <c r="J60" s="3">
        <v>20</v>
      </c>
      <c r="K60" s="3">
        <v>5.4</v>
      </c>
      <c r="L60" s="3">
        <v>13</v>
      </c>
      <c r="M60" s="3">
        <v>34</v>
      </c>
      <c r="N60" s="7">
        <v>42507</v>
      </c>
      <c r="O60" s="3" t="s">
        <v>44</v>
      </c>
      <c r="P60" s="3" t="s">
        <v>45</v>
      </c>
    </row>
    <row r="61" spans="1:16" ht="12.75" x14ac:dyDescent="0.2">
      <c r="A61" s="3" t="s">
        <v>40</v>
      </c>
      <c r="B61" s="4" t="s">
        <v>416</v>
      </c>
      <c r="C61" t="s">
        <v>421</v>
      </c>
      <c r="D61" s="3">
        <v>38.797221999999998</v>
      </c>
      <c r="E61" s="3">
        <v>-104.79425999999999</v>
      </c>
      <c r="F61" s="4" t="s">
        <v>411</v>
      </c>
      <c r="G61" s="4" t="s">
        <v>413</v>
      </c>
      <c r="H61" s="3">
        <v>46</v>
      </c>
      <c r="I61" s="3">
        <v>4.9000000000000004</v>
      </c>
      <c r="J61" s="3">
        <v>19</v>
      </c>
      <c r="K61" s="3">
        <v>6.4</v>
      </c>
      <c r="L61" s="3">
        <v>11</v>
      </c>
      <c r="M61" s="3">
        <v>37</v>
      </c>
      <c r="N61" s="7">
        <v>42507</v>
      </c>
      <c r="O61" s="3" t="s">
        <v>41</v>
      </c>
      <c r="P61" s="3" t="s">
        <v>42</v>
      </c>
    </row>
    <row r="62" spans="1:16" ht="12.75" x14ac:dyDescent="0.2">
      <c r="A62" s="3" t="s">
        <v>37</v>
      </c>
      <c r="B62" s="4" t="s">
        <v>416</v>
      </c>
      <c r="C62" t="s">
        <v>421</v>
      </c>
      <c r="D62" s="3">
        <v>38.796944000000003</v>
      </c>
      <c r="E62" s="3">
        <v>-104.794166</v>
      </c>
      <c r="F62" s="4" t="s">
        <v>411</v>
      </c>
      <c r="G62" s="4" t="s">
        <v>413</v>
      </c>
      <c r="H62" s="3">
        <v>49</v>
      </c>
      <c r="I62" s="3">
        <v>8</v>
      </c>
      <c r="J62" s="3">
        <v>20</v>
      </c>
      <c r="K62" s="3">
        <v>6.6</v>
      </c>
      <c r="L62" s="3">
        <v>20</v>
      </c>
      <c r="M62" s="3">
        <v>36</v>
      </c>
      <c r="N62" s="7">
        <v>42507</v>
      </c>
      <c r="O62" s="3" t="s">
        <v>38</v>
      </c>
      <c r="P62" s="3" t="s">
        <v>39</v>
      </c>
    </row>
    <row r="63" spans="1:16" ht="12.75" x14ac:dyDescent="0.2">
      <c r="A63" s="3" t="s">
        <v>34</v>
      </c>
      <c r="B63" s="4" t="s">
        <v>416</v>
      </c>
      <c r="C63" t="s">
        <v>421</v>
      </c>
      <c r="D63" s="3">
        <v>38.796388999999998</v>
      </c>
      <c r="E63" s="3">
        <v>-104.7937</v>
      </c>
      <c r="F63" s="4" t="s">
        <v>411</v>
      </c>
      <c r="G63" s="4" t="s">
        <v>413</v>
      </c>
      <c r="H63" s="3">
        <v>46</v>
      </c>
      <c r="I63" s="3">
        <v>5.7</v>
      </c>
      <c r="J63" s="3">
        <v>19</v>
      </c>
      <c r="K63" s="3">
        <v>5.5</v>
      </c>
      <c r="L63" s="3">
        <v>13</v>
      </c>
      <c r="M63" s="3">
        <v>37</v>
      </c>
      <c r="N63" s="7">
        <v>42507</v>
      </c>
      <c r="O63" s="3" t="s">
        <v>35</v>
      </c>
      <c r="P63" s="3" t="s">
        <v>36</v>
      </c>
    </row>
    <row r="64" spans="1:16" ht="12.75" x14ac:dyDescent="0.2">
      <c r="A64" s="3" t="s">
        <v>31</v>
      </c>
      <c r="B64" s="4" t="s">
        <v>416</v>
      </c>
      <c r="C64" t="s">
        <v>431</v>
      </c>
      <c r="D64" s="3">
        <v>38.751666</v>
      </c>
      <c r="E64" s="3">
        <v>-104.745277</v>
      </c>
      <c r="F64" s="4" t="s">
        <v>411</v>
      </c>
      <c r="G64" s="4" t="s">
        <v>413</v>
      </c>
      <c r="H64" s="3">
        <v>150</v>
      </c>
      <c r="I64" s="3">
        <v>42</v>
      </c>
      <c r="J64" s="3">
        <v>510</v>
      </c>
      <c r="K64" s="3">
        <v>5.6</v>
      </c>
      <c r="L64" s="3">
        <v>73</v>
      </c>
      <c r="M64" s="3">
        <v>140</v>
      </c>
      <c r="N64" s="7">
        <v>42507</v>
      </c>
      <c r="O64" s="3" t="s">
        <v>32</v>
      </c>
      <c r="P64" s="3" t="s">
        <v>33</v>
      </c>
    </row>
    <row r="65" spans="1:16" ht="12.75" x14ac:dyDescent="0.2">
      <c r="A65" s="3" t="s">
        <v>28</v>
      </c>
      <c r="B65" s="4" t="s">
        <v>416</v>
      </c>
      <c r="C65" t="s">
        <v>420</v>
      </c>
      <c r="D65" s="3">
        <v>38.688333</v>
      </c>
      <c r="E65" s="3">
        <v>-104.705</v>
      </c>
      <c r="F65" s="4" t="s">
        <v>411</v>
      </c>
      <c r="G65" s="4" t="s">
        <v>413</v>
      </c>
      <c r="H65" s="3">
        <v>0</v>
      </c>
      <c r="I65" s="3">
        <v>10</v>
      </c>
      <c r="J65" s="3">
        <v>59</v>
      </c>
      <c r="K65" s="3">
        <v>0</v>
      </c>
      <c r="L65" s="3">
        <v>33</v>
      </c>
      <c r="M65" s="3">
        <v>46</v>
      </c>
      <c r="N65" s="7"/>
      <c r="O65" s="3" t="s">
        <v>29</v>
      </c>
      <c r="P65" s="3" t="s">
        <v>30</v>
      </c>
    </row>
    <row r="66" spans="1:16" ht="12.75" x14ac:dyDescent="0.2">
      <c r="A66" s="3" t="s">
        <v>25</v>
      </c>
      <c r="B66" s="4" t="s">
        <v>416</v>
      </c>
      <c r="C66" t="s">
        <v>420</v>
      </c>
      <c r="D66" s="3">
        <v>38.681944999999999</v>
      </c>
      <c r="E66" s="3">
        <v>-104.69972199999999</v>
      </c>
      <c r="F66" s="4" t="s">
        <v>411</v>
      </c>
      <c r="G66" s="4" t="s">
        <v>413</v>
      </c>
      <c r="H66" s="3">
        <v>0</v>
      </c>
      <c r="I66" s="3">
        <v>0</v>
      </c>
      <c r="J66" s="3">
        <v>50</v>
      </c>
      <c r="K66" s="3">
        <v>0</v>
      </c>
      <c r="L66" s="3">
        <v>27</v>
      </c>
      <c r="M66" s="3">
        <v>50</v>
      </c>
      <c r="N66" s="7"/>
      <c r="O66" s="3" t="s">
        <v>26</v>
      </c>
      <c r="P66" s="3" t="s">
        <v>27</v>
      </c>
    </row>
    <row r="67" spans="1:16" ht="12.75" x14ac:dyDescent="0.2">
      <c r="A67" s="3" t="s">
        <v>22</v>
      </c>
      <c r="B67" s="4" t="s">
        <v>416</v>
      </c>
      <c r="C67" t="s">
        <v>420</v>
      </c>
      <c r="D67" s="3">
        <v>38.685555000000001</v>
      </c>
      <c r="E67" s="3">
        <v>-104.702778</v>
      </c>
      <c r="F67" s="4" t="s">
        <v>411</v>
      </c>
      <c r="G67" s="4" t="s">
        <v>413</v>
      </c>
      <c r="H67" s="3">
        <v>0</v>
      </c>
      <c r="I67" s="3">
        <v>10</v>
      </c>
      <c r="J67" s="3">
        <v>54</v>
      </c>
      <c r="K67" s="3">
        <v>0</v>
      </c>
      <c r="L67" s="3">
        <v>32</v>
      </c>
      <c r="M67" s="3">
        <v>49</v>
      </c>
      <c r="N67" s="7"/>
      <c r="O67" s="3" t="s">
        <v>23</v>
      </c>
      <c r="P67" s="3" t="s">
        <v>24</v>
      </c>
    </row>
    <row r="68" spans="1:16" ht="12.75" x14ac:dyDescent="0.2">
      <c r="A68" s="3" t="s">
        <v>289</v>
      </c>
      <c r="B68" s="4" t="s">
        <v>416</v>
      </c>
      <c r="C68" t="s">
        <v>420</v>
      </c>
      <c r="D68" s="3">
        <v>38.686678999999998</v>
      </c>
      <c r="E68" s="3">
        <v>-104.703709</v>
      </c>
      <c r="F68" s="4" t="s">
        <v>411</v>
      </c>
      <c r="G68" s="4" t="s">
        <v>413</v>
      </c>
      <c r="H68" s="3">
        <v>0</v>
      </c>
      <c r="I68" s="3">
        <v>0</v>
      </c>
      <c r="J68" s="3">
        <v>50</v>
      </c>
      <c r="K68" s="3">
        <v>0</v>
      </c>
      <c r="L68" s="3">
        <v>40</v>
      </c>
      <c r="M68" s="3">
        <v>0</v>
      </c>
      <c r="N68" s="7">
        <v>41472</v>
      </c>
      <c r="O68" s="3" t="s">
        <v>290</v>
      </c>
      <c r="P68" s="3" t="s">
        <v>291</v>
      </c>
    </row>
    <row r="69" spans="1:16" ht="12.75" x14ac:dyDescent="0.2">
      <c r="A69" s="3" t="s">
        <v>277</v>
      </c>
      <c r="B69" s="4" t="s">
        <v>416</v>
      </c>
      <c r="C69" t="s">
        <v>420</v>
      </c>
      <c r="D69" s="3">
        <v>38.743549999999999</v>
      </c>
      <c r="E69" s="3">
        <v>-104.70780000000001</v>
      </c>
      <c r="F69" s="4" t="s">
        <v>411</v>
      </c>
      <c r="G69" s="4" t="s">
        <v>413</v>
      </c>
      <c r="H69" s="3">
        <v>23</v>
      </c>
      <c r="I69" s="3">
        <v>12</v>
      </c>
      <c r="J69" s="3">
        <v>34</v>
      </c>
      <c r="K69" s="3">
        <v>4.5</v>
      </c>
      <c r="L69" s="3">
        <v>33</v>
      </c>
      <c r="M69" s="3">
        <v>64</v>
      </c>
      <c r="N69" s="7">
        <v>42516</v>
      </c>
      <c r="O69" s="3" t="s">
        <v>278</v>
      </c>
      <c r="P69" s="3" t="s">
        <v>279</v>
      </c>
    </row>
    <row r="70" spans="1:16" ht="12.75" x14ac:dyDescent="0.2">
      <c r="A70" s="3" t="s">
        <v>241</v>
      </c>
      <c r="B70" s="4" t="s">
        <v>416</v>
      </c>
      <c r="C70" t="s">
        <v>420</v>
      </c>
      <c r="D70" s="3">
        <v>38.659137000000001</v>
      </c>
      <c r="E70" s="3">
        <v>-104.690442</v>
      </c>
      <c r="F70" s="4" t="s">
        <v>411</v>
      </c>
      <c r="G70" s="4" t="s">
        <v>413</v>
      </c>
      <c r="H70" s="3">
        <v>0</v>
      </c>
      <c r="I70" s="3">
        <v>3.8</v>
      </c>
      <c r="J70" s="3">
        <v>10</v>
      </c>
      <c r="K70" s="3">
        <v>0</v>
      </c>
      <c r="L70" s="3">
        <v>9.1</v>
      </c>
      <c r="M70" s="3">
        <v>0</v>
      </c>
      <c r="N70" s="7">
        <v>42548</v>
      </c>
      <c r="O70" s="3" t="s">
        <v>242</v>
      </c>
      <c r="P70" s="3" t="s">
        <v>243</v>
      </c>
    </row>
    <row r="71" spans="1:16" ht="12.75" x14ac:dyDescent="0.2">
      <c r="A71" s="3" t="s">
        <v>64</v>
      </c>
      <c r="B71" s="4" t="s">
        <v>416</v>
      </c>
      <c r="C71" t="s">
        <v>422</v>
      </c>
      <c r="D71" s="3">
        <v>38.769599999999997</v>
      </c>
      <c r="E71" s="3">
        <v>-104.7548833</v>
      </c>
      <c r="F71" s="4" t="s">
        <v>411</v>
      </c>
      <c r="G71" s="4" t="s">
        <v>413</v>
      </c>
      <c r="H71" s="3">
        <v>90</v>
      </c>
      <c r="I71" s="3">
        <v>20</v>
      </c>
      <c r="J71" s="3">
        <v>210</v>
      </c>
      <c r="K71" s="3">
        <v>3.9</v>
      </c>
      <c r="L71" s="3">
        <v>30</v>
      </c>
      <c r="M71" s="3">
        <v>130</v>
      </c>
      <c r="N71" s="7">
        <v>42507</v>
      </c>
      <c r="O71" s="3" t="s">
        <v>65</v>
      </c>
      <c r="P71" s="3" t="s">
        <v>66</v>
      </c>
    </row>
    <row r="72" spans="1:16" ht="12.75" x14ac:dyDescent="0.2">
      <c r="A72" s="3" t="s">
        <v>19</v>
      </c>
      <c r="B72" s="4" t="s">
        <v>416</v>
      </c>
      <c r="C72" t="s">
        <v>418</v>
      </c>
      <c r="D72" s="3">
        <v>38.709721999999999</v>
      </c>
      <c r="E72" s="3">
        <v>-104.716111</v>
      </c>
      <c r="F72" s="4" t="s">
        <v>411</v>
      </c>
      <c r="G72" s="4" t="s">
        <v>413</v>
      </c>
      <c r="H72" s="3">
        <v>260</v>
      </c>
      <c r="I72" s="3">
        <v>6.1</v>
      </c>
      <c r="J72" s="3">
        <v>35</v>
      </c>
      <c r="K72" s="3">
        <v>0</v>
      </c>
      <c r="L72" s="3">
        <v>15</v>
      </c>
      <c r="M72" s="3">
        <v>20</v>
      </c>
      <c r="N72" s="7">
        <v>42431</v>
      </c>
      <c r="O72" s="3" t="s">
        <v>20</v>
      </c>
      <c r="P72" s="3" t="s">
        <v>21</v>
      </c>
    </row>
    <row r="73" spans="1:16" ht="12.75" x14ac:dyDescent="0.2">
      <c r="A73" s="3" t="s">
        <v>16</v>
      </c>
      <c r="B73" s="4" t="s">
        <v>416</v>
      </c>
      <c r="C73" t="s">
        <v>418</v>
      </c>
      <c r="D73" s="3">
        <v>38.713611</v>
      </c>
      <c r="E73" s="3">
        <v>-104.716667</v>
      </c>
      <c r="F73" s="4" t="s">
        <v>411</v>
      </c>
      <c r="G73" s="4" t="s">
        <v>413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7">
        <v>42431</v>
      </c>
      <c r="O73" s="3" t="s">
        <v>17</v>
      </c>
      <c r="P73" s="3" t="s">
        <v>18</v>
      </c>
    </row>
    <row r="74" spans="1:16" ht="12.75" x14ac:dyDescent="0.2">
      <c r="A74" s="3" t="s">
        <v>13</v>
      </c>
      <c r="B74" s="4" t="s">
        <v>416</v>
      </c>
      <c r="C74" t="s">
        <v>419</v>
      </c>
      <c r="D74" s="3">
        <v>38.709167000000001</v>
      </c>
      <c r="E74" s="3">
        <v>-104.715833</v>
      </c>
      <c r="F74" s="4" t="s">
        <v>411</v>
      </c>
      <c r="G74" s="4" t="s">
        <v>413</v>
      </c>
      <c r="H74" s="3">
        <v>28</v>
      </c>
      <c r="I74" s="3">
        <v>5.3</v>
      </c>
      <c r="J74" s="3">
        <v>38</v>
      </c>
      <c r="K74" s="3">
        <v>0</v>
      </c>
      <c r="L74" s="3">
        <v>18</v>
      </c>
      <c r="M74" s="3">
        <v>31</v>
      </c>
      <c r="N74" s="7">
        <v>42431</v>
      </c>
      <c r="O74" s="3" t="s">
        <v>14</v>
      </c>
      <c r="P74" s="3" t="s">
        <v>15</v>
      </c>
    </row>
    <row r="75" spans="1:16" ht="12.75" x14ac:dyDescent="0.2">
      <c r="A75" s="3" t="s">
        <v>274</v>
      </c>
      <c r="B75" s="4" t="s">
        <v>416</v>
      </c>
      <c r="C75" t="s">
        <v>430</v>
      </c>
      <c r="D75" s="3">
        <v>38.768416999999999</v>
      </c>
      <c r="E75" s="3">
        <v>-104.649287</v>
      </c>
      <c r="F75" s="4" t="s">
        <v>411</v>
      </c>
      <c r="G75" s="4" t="s">
        <v>413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7">
        <v>42548</v>
      </c>
      <c r="O75" s="3" t="s">
        <v>275</v>
      </c>
      <c r="P75" s="3" t="s">
        <v>276</v>
      </c>
    </row>
    <row r="76" spans="1:16" ht="12.75" x14ac:dyDescent="0.2">
      <c r="A76" s="3" t="s">
        <v>67</v>
      </c>
      <c r="B76" s="4" t="s">
        <v>415</v>
      </c>
      <c r="C76" s="3"/>
      <c r="D76" s="3">
        <v>38.698099999999997</v>
      </c>
      <c r="E76" s="3">
        <v>-104.6981</v>
      </c>
      <c r="F76" s="4" t="s">
        <v>411</v>
      </c>
      <c r="G76" s="4" t="s">
        <v>413</v>
      </c>
      <c r="H76" s="3">
        <v>0</v>
      </c>
      <c r="I76" s="3">
        <v>12</v>
      </c>
      <c r="J76" s="3">
        <v>81</v>
      </c>
      <c r="K76" s="3">
        <v>0</v>
      </c>
      <c r="L76" s="3">
        <v>30</v>
      </c>
      <c r="M76" s="3">
        <v>67</v>
      </c>
      <c r="N76" s="7">
        <v>42460</v>
      </c>
      <c r="O76" s="3" t="s">
        <v>68</v>
      </c>
      <c r="P76" s="3" t="s">
        <v>69</v>
      </c>
    </row>
    <row r="77" spans="1:16" ht="12.75" x14ac:dyDescent="0.2">
      <c r="A77" s="3" t="s">
        <v>70</v>
      </c>
      <c r="B77" s="4" t="s">
        <v>415</v>
      </c>
      <c r="C77" s="3"/>
      <c r="D77" s="3">
        <v>38.6541</v>
      </c>
      <c r="E77" s="3">
        <v>-104.68429999999999</v>
      </c>
      <c r="F77" s="4" t="s">
        <v>411</v>
      </c>
      <c r="G77" s="4" t="s">
        <v>413</v>
      </c>
      <c r="H77" s="3">
        <v>0</v>
      </c>
      <c r="I77" s="3">
        <v>14</v>
      </c>
      <c r="J77" s="3">
        <v>76</v>
      </c>
      <c r="K77" s="3">
        <v>0</v>
      </c>
      <c r="L77" s="3">
        <v>38</v>
      </c>
      <c r="M77" s="3">
        <v>64</v>
      </c>
      <c r="N77" s="7">
        <v>42460</v>
      </c>
      <c r="O77" s="3" t="s">
        <v>71</v>
      </c>
      <c r="P77" s="3" t="s">
        <v>72</v>
      </c>
    </row>
    <row r="78" spans="1:16" ht="12.75" x14ac:dyDescent="0.2">
      <c r="A78" s="3" t="s">
        <v>73</v>
      </c>
      <c r="B78" s="4" t="s">
        <v>415</v>
      </c>
      <c r="C78" s="3"/>
      <c r="D78" s="3">
        <v>38.653100000000002</v>
      </c>
      <c r="E78" s="3">
        <v>-104.6866</v>
      </c>
      <c r="F78" s="4" t="s">
        <v>411</v>
      </c>
      <c r="G78" s="4" t="s">
        <v>413</v>
      </c>
      <c r="H78" s="3">
        <v>0</v>
      </c>
      <c r="I78" s="3">
        <v>17</v>
      </c>
      <c r="J78" s="3">
        <v>82</v>
      </c>
      <c r="K78" s="3">
        <v>0</v>
      </c>
      <c r="L78" s="3">
        <v>44</v>
      </c>
      <c r="M78" s="3">
        <v>51</v>
      </c>
      <c r="N78" s="7">
        <v>42460</v>
      </c>
      <c r="O78" s="3" t="s">
        <v>74</v>
      </c>
      <c r="P78" s="3" t="s">
        <v>75</v>
      </c>
    </row>
    <row r="79" spans="1:16" ht="12.75" x14ac:dyDescent="0.2">
      <c r="A79" s="3" t="s">
        <v>76</v>
      </c>
      <c r="B79" s="4" t="s">
        <v>415</v>
      </c>
      <c r="C79" s="3"/>
      <c r="D79" s="3">
        <v>38.651899999999998</v>
      </c>
      <c r="E79" s="3">
        <v>-104.6859</v>
      </c>
      <c r="F79" s="4" t="s">
        <v>411</v>
      </c>
      <c r="G79" s="4" t="s">
        <v>413</v>
      </c>
      <c r="H79" s="3">
        <v>0</v>
      </c>
      <c r="I79" s="3">
        <v>21</v>
      </c>
      <c r="J79" s="3">
        <v>88</v>
      </c>
      <c r="K79" s="3">
        <v>0</v>
      </c>
      <c r="L79" s="3">
        <v>46</v>
      </c>
      <c r="M79" s="3">
        <v>48</v>
      </c>
      <c r="N79" s="7">
        <v>42460</v>
      </c>
      <c r="O79" s="3" t="s">
        <v>77</v>
      </c>
      <c r="P79" s="3" t="s">
        <v>78</v>
      </c>
    </row>
    <row r="80" spans="1:16" ht="12.75" x14ac:dyDescent="0.2">
      <c r="A80" s="3" t="s">
        <v>79</v>
      </c>
      <c r="B80" s="4" t="s">
        <v>415</v>
      </c>
      <c r="C80" s="3"/>
      <c r="D80" s="3">
        <v>38.656100000000002</v>
      </c>
      <c r="E80" s="3">
        <v>-104.6914</v>
      </c>
      <c r="F80" s="4" t="s">
        <v>411</v>
      </c>
      <c r="G80" s="4" t="s">
        <v>413</v>
      </c>
      <c r="H80" s="3">
        <v>0</v>
      </c>
      <c r="I80" s="3">
        <v>22</v>
      </c>
      <c r="J80" s="3">
        <v>86</v>
      </c>
      <c r="K80" s="3">
        <v>0</v>
      </c>
      <c r="L80" s="3">
        <v>45</v>
      </c>
      <c r="M80" s="3">
        <v>41</v>
      </c>
      <c r="N80" s="7">
        <v>42460</v>
      </c>
      <c r="O80" s="3" t="s">
        <v>80</v>
      </c>
      <c r="P80" s="3" t="s">
        <v>81</v>
      </c>
    </row>
    <row r="81" spans="1:16" ht="12.75" x14ac:dyDescent="0.2">
      <c r="A81" s="3" t="s">
        <v>82</v>
      </c>
      <c r="B81" s="4" t="s">
        <v>415</v>
      </c>
      <c r="C81" s="3"/>
      <c r="D81" s="3">
        <v>38.648761100000002</v>
      </c>
      <c r="E81" s="3">
        <v>-104.68630280000001</v>
      </c>
      <c r="F81" s="4" t="s">
        <v>411</v>
      </c>
      <c r="G81" s="4" t="s">
        <v>413</v>
      </c>
      <c r="H81" s="3">
        <v>0</v>
      </c>
      <c r="I81" s="3">
        <v>15</v>
      </c>
      <c r="J81" s="3">
        <v>71</v>
      </c>
      <c r="K81" s="3">
        <v>0</v>
      </c>
      <c r="L81" s="3">
        <v>42</v>
      </c>
      <c r="M81" s="3">
        <v>62</v>
      </c>
      <c r="N81" s="7">
        <v>42464</v>
      </c>
      <c r="O81" s="3" t="s">
        <v>83</v>
      </c>
      <c r="P81" s="3" t="s">
        <v>84</v>
      </c>
    </row>
    <row r="82" spans="1:16" ht="12.75" x14ac:dyDescent="0.2">
      <c r="A82" s="3" t="s">
        <v>85</v>
      </c>
      <c r="B82" s="4" t="s">
        <v>415</v>
      </c>
      <c r="C82" s="3"/>
      <c r="D82" s="3">
        <v>38.596899999999998</v>
      </c>
      <c r="E82" s="3">
        <v>-104.66930000000001</v>
      </c>
      <c r="F82" s="4" t="s">
        <v>411</v>
      </c>
      <c r="G82" s="4" t="s">
        <v>413</v>
      </c>
      <c r="H82" s="3">
        <v>0</v>
      </c>
      <c r="I82" s="3">
        <v>13</v>
      </c>
      <c r="J82" s="3">
        <v>82</v>
      </c>
      <c r="K82" s="3">
        <v>0</v>
      </c>
      <c r="L82" s="3">
        <v>36</v>
      </c>
      <c r="M82" s="3">
        <v>66</v>
      </c>
      <c r="N82" s="7">
        <v>42460</v>
      </c>
      <c r="O82" s="3" t="s">
        <v>86</v>
      </c>
      <c r="P82" s="3" t="s">
        <v>87</v>
      </c>
    </row>
    <row r="83" spans="1:16" ht="12.75" x14ac:dyDescent="0.2">
      <c r="A83" s="3" t="s">
        <v>88</v>
      </c>
      <c r="B83" s="4" t="s">
        <v>415</v>
      </c>
      <c r="C83" s="3"/>
      <c r="D83" s="3">
        <v>38.588448</v>
      </c>
      <c r="E83" s="3">
        <v>-104.663158</v>
      </c>
      <c r="F83" s="4" t="s">
        <v>411</v>
      </c>
      <c r="G83" s="4" t="s">
        <v>413</v>
      </c>
      <c r="H83" s="3">
        <v>0</v>
      </c>
      <c r="I83" s="3">
        <v>13</v>
      </c>
      <c r="J83" s="3">
        <v>93</v>
      </c>
      <c r="K83" s="3">
        <v>0</v>
      </c>
      <c r="L83" s="3">
        <v>35</v>
      </c>
      <c r="M83" s="3">
        <v>55</v>
      </c>
      <c r="N83" s="7">
        <v>42464</v>
      </c>
      <c r="O83" s="3" t="s">
        <v>89</v>
      </c>
      <c r="P83" s="3" t="s">
        <v>90</v>
      </c>
    </row>
    <row r="84" spans="1:16" ht="12.75" x14ac:dyDescent="0.2">
      <c r="A84" s="3" t="s">
        <v>91</v>
      </c>
      <c r="B84" s="4" t="s">
        <v>415</v>
      </c>
      <c r="C84" s="3"/>
      <c r="D84" s="3">
        <v>38.589010999999999</v>
      </c>
      <c r="E84" s="3">
        <v>-104.66578199999999</v>
      </c>
      <c r="F84" s="4" t="s">
        <v>411</v>
      </c>
      <c r="G84" s="4" t="s">
        <v>413</v>
      </c>
      <c r="H84" s="3">
        <v>0</v>
      </c>
      <c r="I84" s="3">
        <v>14</v>
      </c>
      <c r="J84" s="3">
        <v>97</v>
      </c>
      <c r="K84" s="3">
        <v>0</v>
      </c>
      <c r="L84" s="3">
        <v>40</v>
      </c>
      <c r="M84" s="3">
        <v>46</v>
      </c>
      <c r="N84" s="7">
        <v>42464</v>
      </c>
      <c r="O84" s="3" t="s">
        <v>92</v>
      </c>
      <c r="P84" s="3" t="s">
        <v>93</v>
      </c>
    </row>
    <row r="85" spans="1:16" ht="12.75" x14ac:dyDescent="0.2">
      <c r="A85" s="3" t="s">
        <v>94</v>
      </c>
      <c r="B85" s="4" t="s">
        <v>415</v>
      </c>
      <c r="C85" s="3"/>
      <c r="D85" s="3">
        <v>38.783422199999997</v>
      </c>
      <c r="E85" s="3">
        <v>-104.78696669999999</v>
      </c>
      <c r="F85" s="4" t="s">
        <v>411</v>
      </c>
      <c r="G85" s="4" t="s">
        <v>413</v>
      </c>
      <c r="H85" s="3">
        <v>0</v>
      </c>
      <c r="I85" s="3">
        <v>12</v>
      </c>
      <c r="J85" s="3">
        <v>0</v>
      </c>
      <c r="K85" s="3">
        <v>0</v>
      </c>
      <c r="L85" s="3">
        <v>0</v>
      </c>
      <c r="M85" s="3">
        <v>0</v>
      </c>
      <c r="N85" s="7">
        <v>42464</v>
      </c>
      <c r="O85" s="3" t="s">
        <v>95</v>
      </c>
      <c r="P85" s="3" t="s">
        <v>96</v>
      </c>
    </row>
    <row r="86" spans="1:16" ht="12.75" x14ac:dyDescent="0.2">
      <c r="A86" s="3" t="s">
        <v>97</v>
      </c>
      <c r="B86" s="4" t="s">
        <v>415</v>
      </c>
      <c r="C86" s="3"/>
      <c r="D86" s="3">
        <v>38.76923</v>
      </c>
      <c r="E86" s="3">
        <v>-104.7529833</v>
      </c>
      <c r="F86" s="4" t="s">
        <v>411</v>
      </c>
      <c r="G86" s="4" t="s">
        <v>413</v>
      </c>
      <c r="H86" s="3">
        <v>83</v>
      </c>
      <c r="I86" s="3">
        <v>32</v>
      </c>
      <c r="J86" s="3">
        <v>150</v>
      </c>
      <c r="K86" s="3">
        <v>5.0999999999999996</v>
      </c>
      <c r="L86" s="3">
        <v>46</v>
      </c>
      <c r="M86" s="3">
        <v>300</v>
      </c>
      <c r="N86" s="7">
        <v>42507</v>
      </c>
      <c r="O86" s="3" t="s">
        <v>98</v>
      </c>
      <c r="P86" s="3" t="s">
        <v>99</v>
      </c>
    </row>
    <row r="87" spans="1:16" ht="12.75" x14ac:dyDescent="0.2">
      <c r="A87" s="3" t="s">
        <v>100</v>
      </c>
      <c r="B87" s="4" t="s">
        <v>415</v>
      </c>
      <c r="C87" s="3"/>
      <c r="D87" s="3">
        <v>38.770820000000001</v>
      </c>
      <c r="E87" s="3">
        <v>-104.75239999999999</v>
      </c>
      <c r="F87" s="4" t="s">
        <v>411</v>
      </c>
      <c r="G87" s="4" t="s">
        <v>413</v>
      </c>
      <c r="H87" s="3">
        <v>72</v>
      </c>
      <c r="I87" s="3">
        <v>32</v>
      </c>
      <c r="J87" s="3">
        <v>160</v>
      </c>
      <c r="K87" s="3">
        <v>4.5999999999999996</v>
      </c>
      <c r="L87" s="3">
        <v>46</v>
      </c>
      <c r="M87" s="3">
        <v>330</v>
      </c>
      <c r="N87" s="7">
        <v>42507</v>
      </c>
      <c r="O87" s="3" t="s">
        <v>101</v>
      </c>
      <c r="P87" s="3" t="s">
        <v>102</v>
      </c>
    </row>
    <row r="88" spans="1:16" ht="12.75" x14ac:dyDescent="0.2">
      <c r="A88" s="3" t="s">
        <v>103</v>
      </c>
      <c r="B88" s="4" t="s">
        <v>415</v>
      </c>
      <c r="C88" s="3"/>
      <c r="D88" s="3">
        <v>38.705016999999998</v>
      </c>
      <c r="E88" s="3">
        <v>-104.70999500000001</v>
      </c>
      <c r="F88" s="4" t="s">
        <v>411</v>
      </c>
      <c r="G88" s="4" t="s">
        <v>413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7">
        <v>42460</v>
      </c>
      <c r="O88" s="3" t="s">
        <v>104</v>
      </c>
      <c r="P88" s="3" t="s">
        <v>105</v>
      </c>
    </row>
    <row r="89" spans="1:16" ht="12.75" x14ac:dyDescent="0.2">
      <c r="A89" s="3" t="s">
        <v>106</v>
      </c>
      <c r="B89" s="4" t="s">
        <v>415</v>
      </c>
      <c r="C89" s="3"/>
      <c r="D89" s="3">
        <v>38.768752999999997</v>
      </c>
      <c r="E89" s="3">
        <v>-104.763417</v>
      </c>
      <c r="F89" s="4" t="s">
        <v>411</v>
      </c>
      <c r="G89" s="4" t="s">
        <v>413</v>
      </c>
      <c r="H89" s="3">
        <v>0</v>
      </c>
      <c r="I89" s="3">
        <v>20</v>
      </c>
      <c r="J89" s="3">
        <v>78</v>
      </c>
      <c r="K89" s="3">
        <v>0</v>
      </c>
      <c r="L89" s="3">
        <v>48</v>
      </c>
      <c r="M89" s="3">
        <v>44</v>
      </c>
      <c r="N89" s="7">
        <v>42460</v>
      </c>
      <c r="O89" s="3" t="s">
        <v>107</v>
      </c>
      <c r="P89" s="3" t="s">
        <v>108</v>
      </c>
    </row>
    <row r="90" spans="1:16" ht="12.75" x14ac:dyDescent="0.2">
      <c r="A90" s="3" t="s">
        <v>112</v>
      </c>
      <c r="B90" s="4" t="s">
        <v>415</v>
      </c>
      <c r="C90" s="3"/>
      <c r="D90" s="3">
        <v>38.693953999999998</v>
      </c>
      <c r="E90" s="3">
        <v>-104.69834899999999</v>
      </c>
      <c r="F90" s="4" t="s">
        <v>411</v>
      </c>
      <c r="G90" s="4" t="s">
        <v>413</v>
      </c>
      <c r="H90" s="3">
        <v>23</v>
      </c>
      <c r="I90" s="3">
        <v>10</v>
      </c>
      <c r="J90" s="3">
        <v>54</v>
      </c>
      <c r="K90" s="3">
        <v>0</v>
      </c>
      <c r="L90" s="3">
        <v>27</v>
      </c>
      <c r="M90" s="3">
        <v>62</v>
      </c>
      <c r="N90" s="7">
        <v>42579</v>
      </c>
      <c r="O90" s="3" t="s">
        <v>113</v>
      </c>
      <c r="P90" s="3" t="s">
        <v>114</v>
      </c>
    </row>
    <row r="91" spans="1:16" ht="12.75" x14ac:dyDescent="0.2">
      <c r="A91" s="3" t="s">
        <v>115</v>
      </c>
      <c r="B91" s="4" t="s">
        <v>415</v>
      </c>
      <c r="C91" s="3"/>
      <c r="D91" s="3">
        <v>38.772399999999998</v>
      </c>
      <c r="E91" s="3">
        <v>-104.7655</v>
      </c>
      <c r="F91" s="4" t="s">
        <v>411</v>
      </c>
      <c r="G91" s="4" t="s">
        <v>413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7">
        <v>42464</v>
      </c>
      <c r="O91" s="3" t="s">
        <v>116</v>
      </c>
      <c r="P91" s="3" t="s">
        <v>117</v>
      </c>
    </row>
    <row r="92" spans="1:16" ht="12.75" x14ac:dyDescent="0.2">
      <c r="A92" s="3" t="s">
        <v>118</v>
      </c>
      <c r="B92" s="4" t="s">
        <v>415</v>
      </c>
      <c r="C92" s="3"/>
      <c r="D92" s="3">
        <v>38.690199999999997</v>
      </c>
      <c r="E92" s="3">
        <v>-104.7051</v>
      </c>
      <c r="F92" s="4" t="s">
        <v>411</v>
      </c>
      <c r="G92" s="4" t="s">
        <v>413</v>
      </c>
      <c r="H92" s="3">
        <v>0</v>
      </c>
      <c r="I92" s="3">
        <v>22</v>
      </c>
      <c r="J92" s="3">
        <v>110</v>
      </c>
      <c r="K92" s="3">
        <v>0</v>
      </c>
      <c r="L92" s="3">
        <v>56</v>
      </c>
      <c r="M92" s="3">
        <v>62</v>
      </c>
      <c r="N92" s="7">
        <v>42460</v>
      </c>
      <c r="O92" s="3" t="s">
        <v>119</v>
      </c>
      <c r="P92" s="3" t="s">
        <v>120</v>
      </c>
    </row>
    <row r="93" spans="1:16" ht="12.75" x14ac:dyDescent="0.2">
      <c r="A93" s="3" t="s">
        <v>238</v>
      </c>
      <c r="B93" s="4" t="s">
        <v>415</v>
      </c>
      <c r="C93" s="3"/>
      <c r="D93" s="3">
        <v>38.677945000000001</v>
      </c>
      <c r="E93" s="3">
        <v>-104.687033</v>
      </c>
      <c r="F93" s="4" t="s">
        <v>411</v>
      </c>
      <c r="G93" s="4" t="s">
        <v>413</v>
      </c>
      <c r="H93" s="3">
        <v>32</v>
      </c>
      <c r="I93" s="3">
        <v>4.8</v>
      </c>
      <c r="J93" s="3">
        <v>44</v>
      </c>
      <c r="K93" s="3">
        <v>0</v>
      </c>
      <c r="L93" s="3">
        <v>13</v>
      </c>
      <c r="M93" s="3">
        <v>24</v>
      </c>
      <c r="N93" s="7">
        <v>42548</v>
      </c>
      <c r="O93" s="3" t="s">
        <v>239</v>
      </c>
      <c r="P93" s="3" t="s">
        <v>240</v>
      </c>
    </row>
    <row r="94" spans="1:16" ht="12.75" x14ac:dyDescent="0.2">
      <c r="A94" s="3" t="s">
        <v>244</v>
      </c>
      <c r="B94" s="4" t="s">
        <v>415</v>
      </c>
      <c r="C94" s="3"/>
      <c r="D94" s="3">
        <v>38.652990000000003</v>
      </c>
      <c r="E94" s="3">
        <v>-104.681663</v>
      </c>
      <c r="F94" s="4" t="s">
        <v>411</v>
      </c>
      <c r="G94" s="4" t="s">
        <v>413</v>
      </c>
      <c r="H94" s="3">
        <v>39</v>
      </c>
      <c r="I94" s="3">
        <v>19</v>
      </c>
      <c r="J94" s="3">
        <v>65</v>
      </c>
      <c r="K94" s="3">
        <v>4</v>
      </c>
      <c r="L94" s="3">
        <v>56</v>
      </c>
      <c r="M94" s="3">
        <v>65</v>
      </c>
      <c r="N94" s="7">
        <v>42548</v>
      </c>
      <c r="O94" s="3" t="s">
        <v>245</v>
      </c>
      <c r="P94" s="3" t="s">
        <v>246</v>
      </c>
    </row>
    <row r="95" spans="1:16" ht="12.75" x14ac:dyDescent="0.2">
      <c r="A95" s="3" t="s">
        <v>247</v>
      </c>
      <c r="B95" s="4" t="s">
        <v>415</v>
      </c>
      <c r="C95" s="3"/>
      <c r="D95" s="3">
        <v>38.615811000000001</v>
      </c>
      <c r="E95" s="3">
        <v>-104.673483</v>
      </c>
      <c r="F95" s="4" t="s">
        <v>411</v>
      </c>
      <c r="G95" s="4" t="s">
        <v>413</v>
      </c>
      <c r="H95" s="3">
        <v>0</v>
      </c>
      <c r="I95" s="3">
        <v>8.6999999999999993</v>
      </c>
      <c r="J95" s="3">
        <v>25</v>
      </c>
      <c r="K95" s="3">
        <v>0</v>
      </c>
      <c r="L95" s="3">
        <v>16</v>
      </c>
      <c r="M95" s="3">
        <v>31</v>
      </c>
      <c r="N95" s="7">
        <v>42548</v>
      </c>
      <c r="O95" s="3" t="s">
        <v>248</v>
      </c>
      <c r="P95" s="3" t="s">
        <v>249</v>
      </c>
    </row>
    <row r="96" spans="1:16" ht="12.75" x14ac:dyDescent="0.2">
      <c r="A96" s="3" t="s">
        <v>250</v>
      </c>
      <c r="B96" s="4" t="s">
        <v>415</v>
      </c>
      <c r="C96" s="3"/>
      <c r="D96" s="3">
        <v>38.771650000000001</v>
      </c>
      <c r="E96" s="3">
        <v>-104.76209</v>
      </c>
      <c r="F96" s="4" t="s">
        <v>411</v>
      </c>
      <c r="G96" s="4" t="s">
        <v>413</v>
      </c>
      <c r="H96" s="3">
        <v>0</v>
      </c>
      <c r="I96" s="3">
        <v>3.5</v>
      </c>
      <c r="J96" s="3">
        <v>13</v>
      </c>
      <c r="K96" s="3">
        <v>0</v>
      </c>
      <c r="L96" s="3">
        <v>5.2</v>
      </c>
      <c r="M96" s="3">
        <v>14</v>
      </c>
      <c r="N96" s="7">
        <v>42550</v>
      </c>
      <c r="O96" s="3" t="s">
        <v>251</v>
      </c>
      <c r="P96" s="3" t="s">
        <v>252</v>
      </c>
    </row>
    <row r="97" spans="1:16" ht="12.75" x14ac:dyDescent="0.2">
      <c r="A97" s="3" t="s">
        <v>253</v>
      </c>
      <c r="B97" s="4" t="s">
        <v>415</v>
      </c>
      <c r="C97" s="3"/>
      <c r="D97" s="3">
        <v>38.771680000000003</v>
      </c>
      <c r="E97" s="3">
        <v>-104.76085</v>
      </c>
      <c r="F97" s="4" t="s">
        <v>411</v>
      </c>
      <c r="G97" s="4" t="s">
        <v>413</v>
      </c>
      <c r="H97" s="3">
        <v>52</v>
      </c>
      <c r="I97" s="3">
        <v>16</v>
      </c>
      <c r="J97" s="3">
        <v>200</v>
      </c>
      <c r="K97" s="3">
        <v>0</v>
      </c>
      <c r="L97" s="3">
        <v>20</v>
      </c>
      <c r="M97" s="3">
        <v>140</v>
      </c>
      <c r="N97" s="7">
        <v>42549</v>
      </c>
      <c r="O97" s="3" t="s">
        <v>254</v>
      </c>
      <c r="P97" s="3" t="s">
        <v>255</v>
      </c>
    </row>
    <row r="98" spans="1:16" ht="12.75" x14ac:dyDescent="0.2">
      <c r="A98" s="3" t="s">
        <v>256</v>
      </c>
      <c r="B98" s="4" t="s">
        <v>415</v>
      </c>
      <c r="C98" s="3"/>
      <c r="D98" s="3">
        <v>38.776783000000002</v>
      </c>
      <c r="E98" s="3">
        <v>-104.7242667</v>
      </c>
      <c r="F98" s="4" t="s">
        <v>411</v>
      </c>
      <c r="G98" s="4" t="s">
        <v>413</v>
      </c>
      <c r="H98" s="3">
        <v>98</v>
      </c>
      <c r="I98" s="3">
        <v>62</v>
      </c>
      <c r="J98" s="3">
        <v>260</v>
      </c>
      <c r="K98" s="3">
        <v>0</v>
      </c>
      <c r="L98" s="3">
        <v>40</v>
      </c>
      <c r="M98" s="3">
        <v>180</v>
      </c>
      <c r="N98" s="7">
        <v>42549</v>
      </c>
      <c r="O98" s="3" t="s">
        <v>257</v>
      </c>
      <c r="P98" s="3" t="s">
        <v>258</v>
      </c>
    </row>
    <row r="99" spans="1:16" ht="12.75" x14ac:dyDescent="0.2">
      <c r="A99" s="3" t="s">
        <v>259</v>
      </c>
      <c r="B99" s="4" t="s">
        <v>415</v>
      </c>
      <c r="C99" s="3"/>
      <c r="D99" s="3">
        <v>38.769717</v>
      </c>
      <c r="E99" s="3">
        <v>-104.7525667</v>
      </c>
      <c r="F99" s="4" t="s">
        <v>411</v>
      </c>
      <c r="G99" s="4" t="s">
        <v>413</v>
      </c>
      <c r="H99" s="3">
        <v>42</v>
      </c>
      <c r="I99" s="3">
        <v>31</v>
      </c>
      <c r="J99" s="3">
        <v>130</v>
      </c>
      <c r="K99" s="3">
        <v>0</v>
      </c>
      <c r="L99" s="3">
        <v>39</v>
      </c>
      <c r="M99" s="3">
        <v>260</v>
      </c>
      <c r="N99" s="7">
        <v>42516</v>
      </c>
      <c r="O99" s="3" t="s">
        <v>260</v>
      </c>
      <c r="P99" s="3" t="s">
        <v>261</v>
      </c>
    </row>
    <row r="100" spans="1:16" ht="12.75" x14ac:dyDescent="0.2">
      <c r="A100" s="3" t="s">
        <v>262</v>
      </c>
      <c r="B100" s="4" t="s">
        <v>415</v>
      </c>
      <c r="C100" s="3"/>
      <c r="D100" s="3">
        <v>38.769717</v>
      </c>
      <c r="E100" s="3">
        <v>-104.7511667</v>
      </c>
      <c r="F100" s="4" t="s">
        <v>411</v>
      </c>
      <c r="G100" s="4" t="s">
        <v>413</v>
      </c>
      <c r="H100" s="3">
        <v>43</v>
      </c>
      <c r="I100" s="3">
        <v>12</v>
      </c>
      <c r="J100" s="3">
        <v>63</v>
      </c>
      <c r="K100" s="3">
        <v>0</v>
      </c>
      <c r="L100" s="3">
        <v>22</v>
      </c>
      <c r="M100" s="3">
        <v>61</v>
      </c>
      <c r="N100" s="7">
        <v>42516</v>
      </c>
      <c r="O100" s="3" t="s">
        <v>263</v>
      </c>
      <c r="P100" s="3" t="s">
        <v>264</v>
      </c>
    </row>
    <row r="101" spans="1:16" ht="12.75" x14ac:dyDescent="0.2">
      <c r="A101" s="3" t="s">
        <v>265</v>
      </c>
      <c r="B101" s="4" t="s">
        <v>415</v>
      </c>
      <c r="C101" s="3"/>
      <c r="D101" s="3">
        <v>38.770617000000001</v>
      </c>
      <c r="E101" s="3">
        <v>-104.7496167</v>
      </c>
      <c r="F101" s="4" t="s">
        <v>411</v>
      </c>
      <c r="G101" s="4" t="s">
        <v>413</v>
      </c>
      <c r="H101" s="3">
        <v>37</v>
      </c>
      <c r="I101" s="3">
        <v>15</v>
      </c>
      <c r="J101" s="3">
        <v>60</v>
      </c>
      <c r="K101" s="3">
        <v>0</v>
      </c>
      <c r="L101" s="3">
        <v>33</v>
      </c>
      <c r="M101" s="3">
        <v>27</v>
      </c>
      <c r="N101" s="7">
        <v>42516</v>
      </c>
      <c r="O101" s="3" t="s">
        <v>266</v>
      </c>
      <c r="P101" s="3" t="s">
        <v>267</v>
      </c>
    </row>
    <row r="102" spans="1:16" ht="12.75" x14ac:dyDescent="0.2">
      <c r="A102" s="3" t="s">
        <v>268</v>
      </c>
      <c r="B102" s="4" t="s">
        <v>415</v>
      </c>
      <c r="C102" s="3"/>
      <c r="D102" s="3">
        <v>38.73601</v>
      </c>
      <c r="E102" s="3">
        <v>-104.73087700000001</v>
      </c>
      <c r="F102" s="4" t="s">
        <v>411</v>
      </c>
      <c r="G102" s="4" t="s">
        <v>413</v>
      </c>
      <c r="H102" s="3">
        <v>67</v>
      </c>
      <c r="I102" s="3">
        <v>33</v>
      </c>
      <c r="J102" s="3">
        <v>300</v>
      </c>
      <c r="K102" s="3">
        <v>0</v>
      </c>
      <c r="L102" s="3">
        <v>66</v>
      </c>
      <c r="M102" s="3">
        <v>81</v>
      </c>
      <c r="N102" s="7">
        <v>42548</v>
      </c>
      <c r="O102" s="3" t="s">
        <v>269</v>
      </c>
      <c r="P102" s="3" t="s">
        <v>270</v>
      </c>
    </row>
    <row r="103" spans="1:16" ht="12.75" x14ac:dyDescent="0.2">
      <c r="A103" s="3" t="s">
        <v>271</v>
      </c>
      <c r="B103" s="4" t="s">
        <v>415</v>
      </c>
      <c r="C103" s="3"/>
      <c r="D103" s="3">
        <v>38.704597</v>
      </c>
      <c r="E103" s="3">
        <v>-104.67483300000001</v>
      </c>
      <c r="F103" s="4" t="s">
        <v>411</v>
      </c>
      <c r="G103" s="4" t="s">
        <v>413</v>
      </c>
      <c r="H103" s="3">
        <v>17</v>
      </c>
      <c r="I103" s="3">
        <v>5.2</v>
      </c>
      <c r="J103" s="3">
        <v>37</v>
      </c>
      <c r="K103" s="3">
        <v>0</v>
      </c>
      <c r="L103" s="3">
        <v>0</v>
      </c>
      <c r="M103" s="3">
        <v>0</v>
      </c>
      <c r="N103" s="7">
        <v>42548</v>
      </c>
      <c r="O103" s="3" t="s">
        <v>272</v>
      </c>
      <c r="P103" s="3" t="s">
        <v>273</v>
      </c>
    </row>
    <row r="104" spans="1:16" ht="12.75" x14ac:dyDescent="0.2">
      <c r="A104" s="3" t="s">
        <v>295</v>
      </c>
      <c r="B104" s="4" t="s">
        <v>415</v>
      </c>
      <c r="C104" s="3"/>
      <c r="D104" s="3">
        <v>38.714635000000001</v>
      </c>
      <c r="E104" s="3">
        <v>-104.661051</v>
      </c>
      <c r="F104" s="4" t="s">
        <v>411</v>
      </c>
      <c r="G104" s="4" t="s">
        <v>413</v>
      </c>
      <c r="H104" s="3">
        <v>0</v>
      </c>
      <c r="I104" s="3">
        <v>1.8</v>
      </c>
      <c r="J104" s="3">
        <v>30</v>
      </c>
      <c r="K104" s="3">
        <v>0</v>
      </c>
      <c r="L104" s="3">
        <v>0</v>
      </c>
      <c r="M104" s="3">
        <v>0</v>
      </c>
      <c r="N104" s="7">
        <v>42580</v>
      </c>
      <c r="O104" s="3" t="s">
        <v>296</v>
      </c>
      <c r="P104" s="3" t="s">
        <v>297</v>
      </c>
    </row>
    <row r="105" spans="1:16" ht="12.75" x14ac:dyDescent="0.2">
      <c r="A105" s="3" t="s">
        <v>298</v>
      </c>
      <c r="B105" s="4" t="s">
        <v>415</v>
      </c>
      <c r="C105" s="3"/>
      <c r="D105" s="3">
        <v>38.712831999999999</v>
      </c>
      <c r="E105" s="3">
        <v>-104.663205</v>
      </c>
      <c r="F105" s="4" t="s">
        <v>411</v>
      </c>
      <c r="G105" s="4" t="s">
        <v>413</v>
      </c>
      <c r="H105" s="3">
        <v>0</v>
      </c>
      <c r="I105" s="3">
        <v>2.4</v>
      </c>
      <c r="J105" s="3">
        <v>36</v>
      </c>
      <c r="K105" s="3">
        <v>0</v>
      </c>
      <c r="L105" s="3">
        <v>0</v>
      </c>
      <c r="M105" s="3">
        <v>0</v>
      </c>
      <c r="N105" s="7">
        <v>42580</v>
      </c>
      <c r="O105" s="3" t="s">
        <v>299</v>
      </c>
      <c r="P105" s="3" t="s">
        <v>300</v>
      </c>
    </row>
    <row r="106" spans="1:16" ht="12.75" x14ac:dyDescent="0.2">
      <c r="A106" s="3" t="s">
        <v>301</v>
      </c>
      <c r="B106" s="4" t="s">
        <v>415</v>
      </c>
      <c r="C106" s="3"/>
      <c r="D106" s="3">
        <v>38.733637999999999</v>
      </c>
      <c r="E106" s="3">
        <v>-104.73278500000001</v>
      </c>
      <c r="F106" s="4" t="s">
        <v>411</v>
      </c>
      <c r="G106" s="4" t="s">
        <v>413</v>
      </c>
      <c r="H106" s="3">
        <v>160</v>
      </c>
      <c r="I106" s="3">
        <v>40</v>
      </c>
      <c r="J106" s="3">
        <v>580</v>
      </c>
      <c r="K106" s="3">
        <v>0</v>
      </c>
      <c r="L106" s="3">
        <v>67</v>
      </c>
      <c r="M106" s="3">
        <v>100</v>
      </c>
      <c r="N106" s="7">
        <v>42580</v>
      </c>
      <c r="O106" s="3" t="s">
        <v>302</v>
      </c>
      <c r="P106" s="3" t="s">
        <v>303</v>
      </c>
    </row>
    <row r="107" spans="1:16" ht="12.75" x14ac:dyDescent="0.2">
      <c r="A107" s="3" t="s">
        <v>304</v>
      </c>
      <c r="B107" s="4" t="s">
        <v>415</v>
      </c>
      <c r="C107" s="3"/>
      <c r="D107" s="3">
        <v>38.703716999999997</v>
      </c>
      <c r="E107" s="3">
        <v>-104.677331</v>
      </c>
      <c r="F107" s="4" t="s">
        <v>411</v>
      </c>
      <c r="G107" s="4" t="s">
        <v>413</v>
      </c>
      <c r="H107" s="3">
        <v>23</v>
      </c>
      <c r="I107" s="3">
        <v>5.6</v>
      </c>
      <c r="J107" s="3">
        <v>48</v>
      </c>
      <c r="K107" s="3">
        <v>0</v>
      </c>
      <c r="L107" s="3">
        <v>0</v>
      </c>
      <c r="M107" s="3">
        <v>0</v>
      </c>
      <c r="N107" s="7">
        <v>42580</v>
      </c>
      <c r="O107" s="3" t="s">
        <v>305</v>
      </c>
      <c r="P107" s="3" t="s">
        <v>306</v>
      </c>
    </row>
    <row r="108" spans="1:16" ht="12.75" x14ac:dyDescent="0.2">
      <c r="A108" s="3" t="s">
        <v>307</v>
      </c>
      <c r="B108" s="4" t="s">
        <v>415</v>
      </c>
      <c r="C108" s="3"/>
      <c r="D108" s="3">
        <v>38.705221000000002</v>
      </c>
      <c r="E108" s="3">
        <v>-104.702079</v>
      </c>
      <c r="F108" s="4" t="s">
        <v>411</v>
      </c>
      <c r="G108" s="4" t="s">
        <v>413</v>
      </c>
      <c r="H108" s="3">
        <v>19</v>
      </c>
      <c r="I108" s="3">
        <v>8.3000000000000007</v>
      </c>
      <c r="J108" s="3">
        <v>31</v>
      </c>
      <c r="K108" s="3">
        <v>4.5999999999999996</v>
      </c>
      <c r="L108" s="3">
        <v>23</v>
      </c>
      <c r="M108" s="3">
        <v>52</v>
      </c>
      <c r="N108" s="7">
        <v>42580</v>
      </c>
      <c r="O108" s="3" t="s">
        <v>308</v>
      </c>
      <c r="P108" s="3" t="s">
        <v>309</v>
      </c>
    </row>
    <row r="109" spans="1:16" ht="12.75" x14ac:dyDescent="0.2">
      <c r="A109" s="3" t="s">
        <v>310</v>
      </c>
      <c r="B109" s="4" t="s">
        <v>415</v>
      </c>
      <c r="C109" s="3"/>
      <c r="D109" s="3">
        <v>38.772787999999998</v>
      </c>
      <c r="E109" s="3">
        <v>-104.768776</v>
      </c>
      <c r="F109" s="4" t="s">
        <v>411</v>
      </c>
      <c r="G109" s="4" t="s">
        <v>413</v>
      </c>
      <c r="H109" s="3">
        <v>20</v>
      </c>
      <c r="I109" s="3">
        <v>8.5</v>
      </c>
      <c r="J109" s="3">
        <v>46</v>
      </c>
      <c r="K109" s="3">
        <v>0</v>
      </c>
      <c r="L109" s="3">
        <v>19</v>
      </c>
      <c r="M109" s="3">
        <v>46</v>
      </c>
      <c r="N109" s="7">
        <v>42579</v>
      </c>
      <c r="O109" s="3" t="s">
        <v>311</v>
      </c>
      <c r="P109" s="3" t="s">
        <v>312</v>
      </c>
    </row>
    <row r="110" spans="1:16" ht="12.75" x14ac:dyDescent="0.2">
      <c r="A110" s="3" t="s">
        <v>313</v>
      </c>
      <c r="B110" s="4" t="s">
        <v>415</v>
      </c>
      <c r="C110" s="3"/>
      <c r="D110" s="3">
        <v>38.700009000000001</v>
      </c>
      <c r="E110" s="3">
        <v>-104.673793</v>
      </c>
      <c r="F110" s="4" t="s">
        <v>411</v>
      </c>
      <c r="G110" s="4" t="s">
        <v>413</v>
      </c>
      <c r="H110" s="3">
        <v>0</v>
      </c>
      <c r="I110" s="3">
        <v>0</v>
      </c>
      <c r="J110" s="3">
        <v>33</v>
      </c>
      <c r="K110" s="3">
        <v>0</v>
      </c>
      <c r="L110" s="3">
        <v>0</v>
      </c>
      <c r="M110" s="3">
        <v>0</v>
      </c>
      <c r="N110" s="7">
        <v>42579</v>
      </c>
      <c r="O110" s="3" t="s">
        <v>314</v>
      </c>
      <c r="P110" s="3" t="s">
        <v>315</v>
      </c>
    </row>
    <row r="111" spans="1:16" ht="12.75" x14ac:dyDescent="0.2">
      <c r="A111" s="3" t="s">
        <v>316</v>
      </c>
      <c r="B111" s="4" t="s">
        <v>415</v>
      </c>
      <c r="C111" s="3"/>
      <c r="D111" s="3">
        <v>38.664465999999997</v>
      </c>
      <c r="E111" s="3">
        <v>-104.68111399999999</v>
      </c>
      <c r="F111" s="4" t="s">
        <v>411</v>
      </c>
      <c r="G111" s="4" t="s">
        <v>413</v>
      </c>
      <c r="H111" s="3">
        <v>35</v>
      </c>
      <c r="I111" s="3">
        <v>5.3</v>
      </c>
      <c r="J111" s="3">
        <v>53</v>
      </c>
      <c r="K111" s="3">
        <v>0</v>
      </c>
      <c r="L111" s="3">
        <v>13</v>
      </c>
      <c r="M111" s="3">
        <v>22</v>
      </c>
      <c r="N111" s="7">
        <v>42579</v>
      </c>
      <c r="O111" s="3" t="s">
        <v>317</v>
      </c>
      <c r="P111" s="3" t="s">
        <v>318</v>
      </c>
    </row>
    <row r="112" spans="1:16" ht="12.75" x14ac:dyDescent="0.2">
      <c r="A112" s="3" t="s">
        <v>319</v>
      </c>
      <c r="B112" s="4" t="s">
        <v>415</v>
      </c>
      <c r="C112" s="3"/>
      <c r="D112" s="3">
        <v>38.653588999999997</v>
      </c>
      <c r="E112" s="3">
        <v>-104.68011799999999</v>
      </c>
      <c r="F112" s="4" t="s">
        <v>411</v>
      </c>
      <c r="G112" s="4" t="s">
        <v>413</v>
      </c>
      <c r="H112" s="3">
        <v>45</v>
      </c>
      <c r="I112" s="3">
        <v>17</v>
      </c>
      <c r="J112" s="3">
        <v>74</v>
      </c>
      <c r="K112" s="3">
        <v>3.8</v>
      </c>
      <c r="L112" s="3">
        <v>40</v>
      </c>
      <c r="M112" s="3">
        <v>73</v>
      </c>
      <c r="N112" s="7">
        <v>42579</v>
      </c>
      <c r="O112" s="3" t="s">
        <v>320</v>
      </c>
      <c r="P112" s="3" t="s">
        <v>321</v>
      </c>
    </row>
    <row r="113" spans="1:16" ht="12.75" x14ac:dyDescent="0.2">
      <c r="A113" s="3" t="s">
        <v>322</v>
      </c>
      <c r="B113" s="4" t="s">
        <v>415</v>
      </c>
      <c r="C113" s="3"/>
      <c r="D113" s="3">
        <v>38.652104999999999</v>
      </c>
      <c r="E113" s="3">
        <v>-104.68425999999999</v>
      </c>
      <c r="F113" s="4" t="s">
        <v>411</v>
      </c>
      <c r="G113" s="4" t="s">
        <v>413</v>
      </c>
      <c r="H113" s="3">
        <v>36</v>
      </c>
      <c r="I113" s="3">
        <v>5.5</v>
      </c>
      <c r="J113" s="3">
        <v>50</v>
      </c>
      <c r="K113" s="3">
        <v>0</v>
      </c>
      <c r="L113" s="3">
        <v>15</v>
      </c>
      <c r="M113" s="3">
        <v>31</v>
      </c>
      <c r="N113" s="7">
        <v>42579</v>
      </c>
      <c r="O113" s="3" t="s">
        <v>323</v>
      </c>
      <c r="P113" s="3" t="s">
        <v>324</v>
      </c>
    </row>
    <row r="114" spans="1:16" ht="12.75" x14ac:dyDescent="0.2">
      <c r="A114" s="3" t="s">
        <v>325</v>
      </c>
      <c r="B114" s="4" t="s">
        <v>415</v>
      </c>
      <c r="C114" s="3"/>
      <c r="D114" s="3">
        <v>38.629936000000001</v>
      </c>
      <c r="E114" s="3">
        <v>-104.68022999999999</v>
      </c>
      <c r="F114" s="4" t="s">
        <v>411</v>
      </c>
      <c r="G114" s="4" t="s">
        <v>413</v>
      </c>
      <c r="H114" s="3">
        <v>62</v>
      </c>
      <c r="I114" s="3">
        <v>16</v>
      </c>
      <c r="J114" s="3">
        <v>71</v>
      </c>
      <c r="K114" s="3">
        <v>0</v>
      </c>
      <c r="L114" s="3">
        <v>21</v>
      </c>
      <c r="M114" s="3">
        <v>0</v>
      </c>
      <c r="N114" s="7">
        <v>42579</v>
      </c>
      <c r="O114" s="3" t="s">
        <v>326</v>
      </c>
      <c r="P114" s="3" t="s">
        <v>327</v>
      </c>
    </row>
    <row r="115" spans="1:16" ht="12.75" x14ac:dyDescent="0.2">
      <c r="A115" s="3" t="s">
        <v>328</v>
      </c>
      <c r="B115" s="4" t="s">
        <v>415</v>
      </c>
      <c r="C115" s="3"/>
      <c r="D115" s="3">
        <v>38.654308</v>
      </c>
      <c r="E115" s="3">
        <v>-104.68587599999999</v>
      </c>
      <c r="F115" s="4" t="s">
        <v>411</v>
      </c>
      <c r="G115" s="4" t="s">
        <v>413</v>
      </c>
      <c r="H115" s="3">
        <v>30</v>
      </c>
      <c r="I115" s="3">
        <v>14</v>
      </c>
      <c r="J115" s="3">
        <v>58</v>
      </c>
      <c r="K115" s="3">
        <v>0</v>
      </c>
      <c r="L115" s="3">
        <v>41</v>
      </c>
      <c r="M115" s="3">
        <v>46</v>
      </c>
      <c r="N115" s="7">
        <v>42579</v>
      </c>
      <c r="O115" s="3" t="s">
        <v>329</v>
      </c>
      <c r="P115" s="3" t="s">
        <v>330</v>
      </c>
    </row>
    <row r="116" spans="1:16" ht="12.75" x14ac:dyDescent="0.2">
      <c r="A116" s="3" t="s">
        <v>331</v>
      </c>
      <c r="B116" s="4" t="s">
        <v>415</v>
      </c>
      <c r="C116" s="3"/>
      <c r="D116" s="3">
        <v>38.627738999999998</v>
      </c>
      <c r="E116" s="3">
        <v>-104.67831099999999</v>
      </c>
      <c r="F116" s="4" t="s">
        <v>411</v>
      </c>
      <c r="G116" s="4" t="s">
        <v>413</v>
      </c>
      <c r="H116" s="3">
        <v>36</v>
      </c>
      <c r="I116" s="3">
        <v>5.0999999999999996</v>
      </c>
      <c r="J116" s="3">
        <v>27</v>
      </c>
      <c r="K116" s="3">
        <v>0</v>
      </c>
      <c r="L116" s="3">
        <v>13</v>
      </c>
      <c r="M116" s="3">
        <v>0</v>
      </c>
      <c r="N116" s="7">
        <v>42615</v>
      </c>
      <c r="O116" s="3" t="s">
        <v>332</v>
      </c>
      <c r="P116" s="3" t="s">
        <v>333</v>
      </c>
    </row>
    <row r="117" spans="1:16" ht="12.75" x14ac:dyDescent="0.2">
      <c r="A117" s="3" t="s">
        <v>334</v>
      </c>
      <c r="B117" s="4" t="s">
        <v>415</v>
      </c>
      <c r="C117" s="3"/>
      <c r="D117" s="3">
        <v>38.648054999999999</v>
      </c>
      <c r="E117" s="3">
        <v>-104.68805500000001</v>
      </c>
      <c r="F117" s="4" t="s">
        <v>411</v>
      </c>
      <c r="G117" s="4" t="s">
        <v>413</v>
      </c>
      <c r="H117" s="3">
        <v>24</v>
      </c>
      <c r="I117" s="3">
        <v>9.5</v>
      </c>
      <c r="J117" s="3">
        <v>44</v>
      </c>
      <c r="K117" s="3">
        <v>0</v>
      </c>
      <c r="L117" s="3">
        <v>24</v>
      </c>
      <c r="M117" s="3">
        <v>27</v>
      </c>
      <c r="N117" s="7">
        <v>42619</v>
      </c>
      <c r="O117" s="3" t="s">
        <v>335</v>
      </c>
      <c r="P117" s="3" t="s">
        <v>336</v>
      </c>
    </row>
    <row r="118" spans="1:16" ht="12.75" x14ac:dyDescent="0.2">
      <c r="A118" s="3" t="s">
        <v>337</v>
      </c>
      <c r="B118" s="4" t="s">
        <v>415</v>
      </c>
      <c r="C118" s="3"/>
      <c r="D118" s="3">
        <v>38.651387999999997</v>
      </c>
      <c r="E118" s="3">
        <v>-104.684444</v>
      </c>
      <c r="F118" s="4" t="s">
        <v>411</v>
      </c>
      <c r="G118" s="4" t="s">
        <v>413</v>
      </c>
      <c r="H118" s="3">
        <v>31</v>
      </c>
      <c r="I118" s="3">
        <v>9.1999999999999993</v>
      </c>
      <c r="J118" s="3">
        <v>46</v>
      </c>
      <c r="K118" s="3">
        <v>0</v>
      </c>
      <c r="L118" s="3">
        <v>25</v>
      </c>
      <c r="M118" s="3">
        <v>46</v>
      </c>
      <c r="N118" s="7">
        <v>42619</v>
      </c>
      <c r="O118" s="3" t="s">
        <v>338</v>
      </c>
      <c r="P118" s="3" t="s">
        <v>339</v>
      </c>
    </row>
    <row r="119" spans="1:16" ht="12.75" x14ac:dyDescent="0.2">
      <c r="A119" s="3" t="s">
        <v>340</v>
      </c>
      <c r="B119" s="4" t="s">
        <v>415</v>
      </c>
      <c r="C119" s="3"/>
      <c r="D119" s="3">
        <v>38.630555000000001</v>
      </c>
      <c r="E119" s="3">
        <v>-104.668055</v>
      </c>
      <c r="F119" s="4" t="s">
        <v>411</v>
      </c>
      <c r="G119" s="4" t="s">
        <v>413</v>
      </c>
      <c r="H119" s="3">
        <v>19</v>
      </c>
      <c r="I119" s="3">
        <v>6.4</v>
      </c>
      <c r="J119" s="3">
        <v>26</v>
      </c>
      <c r="K119" s="3">
        <v>0</v>
      </c>
      <c r="L119" s="3">
        <v>12</v>
      </c>
      <c r="M119" s="3">
        <v>0</v>
      </c>
      <c r="N119" s="7">
        <v>42619</v>
      </c>
      <c r="O119" s="3" t="s">
        <v>341</v>
      </c>
      <c r="P119" s="3" t="s">
        <v>342</v>
      </c>
    </row>
    <row r="120" spans="1:16" ht="12.75" x14ac:dyDescent="0.2">
      <c r="A120" s="3" t="s">
        <v>343</v>
      </c>
      <c r="B120" s="4" t="s">
        <v>415</v>
      </c>
      <c r="C120" s="3"/>
      <c r="D120" s="3">
        <v>38.703333000000001</v>
      </c>
      <c r="E120" s="3">
        <v>-104.706388</v>
      </c>
      <c r="F120" s="4" t="s">
        <v>411</v>
      </c>
      <c r="G120" s="4" t="s">
        <v>413</v>
      </c>
      <c r="H120" s="3">
        <v>18</v>
      </c>
      <c r="I120" s="3">
        <v>12</v>
      </c>
      <c r="J120" s="3">
        <v>40</v>
      </c>
      <c r="K120" s="3">
        <v>0</v>
      </c>
      <c r="L120" s="3">
        <v>43</v>
      </c>
      <c r="M120" s="3">
        <v>29</v>
      </c>
      <c r="N120" s="7">
        <v>42619</v>
      </c>
      <c r="O120" s="3" t="s">
        <v>344</v>
      </c>
      <c r="P120" s="3" t="s">
        <v>345</v>
      </c>
    </row>
    <row r="121" spans="1:16" ht="12.75" x14ac:dyDescent="0.2">
      <c r="A121" s="3" t="s">
        <v>346</v>
      </c>
      <c r="B121" s="4" t="s">
        <v>415</v>
      </c>
      <c r="C121" s="3"/>
      <c r="D121" s="3">
        <v>38.618333</v>
      </c>
      <c r="E121" s="3">
        <v>-104.67444399999999</v>
      </c>
      <c r="F121" s="4" t="s">
        <v>411</v>
      </c>
      <c r="G121" s="4" t="s">
        <v>413</v>
      </c>
      <c r="H121" s="3">
        <v>26</v>
      </c>
      <c r="I121" s="3">
        <v>4.4000000000000004</v>
      </c>
      <c r="J121" s="3">
        <v>24</v>
      </c>
      <c r="K121" s="3">
        <v>0</v>
      </c>
      <c r="L121" s="3">
        <v>8</v>
      </c>
      <c r="M121" s="3">
        <v>0</v>
      </c>
      <c r="N121" s="7">
        <v>42619</v>
      </c>
      <c r="O121" s="3" t="s">
        <v>347</v>
      </c>
      <c r="P121" s="3" t="s">
        <v>348</v>
      </c>
    </row>
    <row r="122" spans="1:16" ht="12.75" x14ac:dyDescent="0.2">
      <c r="A122" s="3" t="s">
        <v>349</v>
      </c>
      <c r="B122" s="4" t="s">
        <v>415</v>
      </c>
      <c r="C122" s="3"/>
      <c r="D122" s="3">
        <v>38.626387999999999</v>
      </c>
      <c r="E122" s="3">
        <v>-104.67611100000001</v>
      </c>
      <c r="F122" s="4" t="s">
        <v>411</v>
      </c>
      <c r="G122" s="4" t="s">
        <v>413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7">
        <v>42619</v>
      </c>
      <c r="O122" s="3" t="s">
        <v>350</v>
      </c>
      <c r="P122" s="3" t="s">
        <v>351</v>
      </c>
    </row>
    <row r="123" spans="1:16" ht="12.75" x14ac:dyDescent="0.2">
      <c r="A123" s="3" t="s">
        <v>352</v>
      </c>
      <c r="B123" s="4" t="s">
        <v>415</v>
      </c>
      <c r="C123" s="3"/>
      <c r="D123" s="3">
        <v>38.626111000000002</v>
      </c>
      <c r="E123" s="3">
        <v>-104.666388</v>
      </c>
      <c r="F123" s="4" t="s">
        <v>411</v>
      </c>
      <c r="G123" s="4" t="s">
        <v>413</v>
      </c>
      <c r="H123" s="3">
        <v>26</v>
      </c>
      <c r="I123" s="3">
        <v>6.4</v>
      </c>
      <c r="J123" s="3">
        <v>36</v>
      </c>
      <c r="K123" s="3">
        <v>0</v>
      </c>
      <c r="L123" s="3">
        <v>14</v>
      </c>
      <c r="M123" s="3">
        <v>0</v>
      </c>
      <c r="N123" s="7">
        <v>42619</v>
      </c>
      <c r="O123" s="3" t="s">
        <v>353</v>
      </c>
      <c r="P123" s="3" t="s">
        <v>354</v>
      </c>
    </row>
    <row r="124" spans="1:16" ht="12.75" x14ac:dyDescent="0.2">
      <c r="A124" s="3" t="s">
        <v>361</v>
      </c>
      <c r="B124" s="4" t="s">
        <v>415</v>
      </c>
      <c r="C124" s="3"/>
      <c r="D124" s="3">
        <v>38.62722222</v>
      </c>
      <c r="E124" s="3">
        <v>-104.68</v>
      </c>
      <c r="F124" s="4" t="s">
        <v>411</v>
      </c>
      <c r="G124" s="4" t="s">
        <v>413</v>
      </c>
      <c r="H124" s="3">
        <v>59</v>
      </c>
      <c r="I124" s="3">
        <v>8.9</v>
      </c>
      <c r="J124" s="3">
        <v>76</v>
      </c>
      <c r="K124" s="3">
        <v>0</v>
      </c>
      <c r="L124" s="3">
        <v>24</v>
      </c>
      <c r="M124" s="3">
        <v>0</v>
      </c>
      <c r="N124" s="7">
        <v>42695</v>
      </c>
      <c r="O124" s="3" t="s">
        <v>362</v>
      </c>
      <c r="P124" s="3" t="s">
        <v>363</v>
      </c>
    </row>
    <row r="125" spans="1:16" ht="12.75" x14ac:dyDescent="0.2">
      <c r="A125" s="3" t="s">
        <v>364</v>
      </c>
      <c r="B125" s="4" t="s">
        <v>415</v>
      </c>
      <c r="C125" s="3"/>
      <c r="D125" s="3">
        <v>38.65</v>
      </c>
      <c r="E125" s="3">
        <v>-104.68888889999999</v>
      </c>
      <c r="F125" s="4" t="s">
        <v>411</v>
      </c>
      <c r="G125" s="4" t="s">
        <v>413</v>
      </c>
      <c r="H125" s="3">
        <v>33</v>
      </c>
      <c r="I125" s="3">
        <v>9</v>
      </c>
      <c r="J125" s="3">
        <v>70</v>
      </c>
      <c r="K125" s="3">
        <v>0</v>
      </c>
      <c r="L125" s="3">
        <v>44</v>
      </c>
      <c r="M125" s="3">
        <v>36</v>
      </c>
      <c r="N125" s="7">
        <v>42695</v>
      </c>
      <c r="O125" s="3" t="s">
        <v>365</v>
      </c>
      <c r="P125" s="3" t="s">
        <v>366</v>
      </c>
    </row>
    <row r="126" spans="1:16" ht="12.75" x14ac:dyDescent="0.2">
      <c r="A126" s="3" t="s">
        <v>367</v>
      </c>
      <c r="B126" s="4" t="s">
        <v>415</v>
      </c>
      <c r="C126" s="3"/>
      <c r="D126" s="3">
        <v>38.707222219999998</v>
      </c>
      <c r="E126" s="3">
        <v>-104.6741667</v>
      </c>
      <c r="F126" s="4" t="s">
        <v>411</v>
      </c>
      <c r="G126" s="4" t="s">
        <v>413</v>
      </c>
      <c r="H126" s="3">
        <v>21</v>
      </c>
      <c r="I126" s="3">
        <v>3.7</v>
      </c>
      <c r="J126" s="3">
        <v>56</v>
      </c>
      <c r="K126" s="3">
        <v>0</v>
      </c>
      <c r="L126" s="3">
        <v>3.7</v>
      </c>
      <c r="M126" s="3">
        <v>0</v>
      </c>
      <c r="N126" s="7">
        <v>42695</v>
      </c>
      <c r="O126" s="3" t="s">
        <v>368</v>
      </c>
      <c r="P126" s="3" t="s">
        <v>369</v>
      </c>
    </row>
    <row r="127" spans="1:16" ht="12.75" x14ac:dyDescent="0.2">
      <c r="A127" s="3" t="s">
        <v>370</v>
      </c>
      <c r="B127" s="4" t="s">
        <v>415</v>
      </c>
      <c r="C127" s="3"/>
      <c r="D127" s="3">
        <v>38.707222219999998</v>
      </c>
      <c r="E127" s="3">
        <v>-104.675</v>
      </c>
      <c r="F127" s="4" t="s">
        <v>411</v>
      </c>
      <c r="G127" s="4" t="s">
        <v>413</v>
      </c>
      <c r="H127" s="3">
        <v>16</v>
      </c>
      <c r="I127" s="3">
        <v>2.7</v>
      </c>
      <c r="J127" s="3">
        <v>56</v>
      </c>
      <c r="K127" s="3">
        <v>0</v>
      </c>
      <c r="L127" s="3">
        <v>3.7</v>
      </c>
      <c r="M127" s="3">
        <v>0</v>
      </c>
      <c r="N127" s="7">
        <v>42695</v>
      </c>
      <c r="O127" s="3" t="s">
        <v>371</v>
      </c>
      <c r="P127" s="3" t="s">
        <v>372</v>
      </c>
    </row>
    <row r="128" spans="1:16" ht="12.75" x14ac:dyDescent="0.2">
      <c r="A128" s="3" t="s">
        <v>373</v>
      </c>
      <c r="B128" s="4" t="s">
        <v>415</v>
      </c>
      <c r="C128" s="3"/>
      <c r="D128" s="3">
        <v>38.661944439999999</v>
      </c>
      <c r="E128" s="3">
        <v>-104.68361109999999</v>
      </c>
      <c r="F128" s="4" t="s">
        <v>411</v>
      </c>
      <c r="G128" s="4" t="s">
        <v>413</v>
      </c>
      <c r="H128" s="3">
        <v>38</v>
      </c>
      <c r="I128" s="3">
        <v>7</v>
      </c>
      <c r="J128" s="3">
        <v>68</v>
      </c>
      <c r="K128" s="3">
        <v>0</v>
      </c>
      <c r="L128" s="3">
        <v>34</v>
      </c>
      <c r="M128" s="3">
        <v>48</v>
      </c>
      <c r="N128" s="7">
        <v>42695</v>
      </c>
      <c r="O128" s="3" t="s">
        <v>374</v>
      </c>
      <c r="P128" s="3" t="s">
        <v>375</v>
      </c>
    </row>
    <row r="129" spans="1:16" ht="12.75" x14ac:dyDescent="0.2">
      <c r="A129" s="3" t="s">
        <v>376</v>
      </c>
      <c r="B129" s="4" t="s">
        <v>415</v>
      </c>
      <c r="C129" s="3"/>
      <c r="D129" s="3">
        <v>38.710277779999998</v>
      </c>
      <c r="E129" s="3">
        <v>-104.6605556</v>
      </c>
      <c r="F129" s="4" t="s">
        <v>411</v>
      </c>
      <c r="G129" s="4" t="s">
        <v>413</v>
      </c>
      <c r="H129" s="3">
        <v>0</v>
      </c>
      <c r="I129" s="3">
        <v>0</v>
      </c>
      <c r="J129" s="3">
        <v>40</v>
      </c>
      <c r="K129" s="3">
        <v>0</v>
      </c>
      <c r="L129" s="3">
        <v>29</v>
      </c>
      <c r="M129" s="3">
        <v>10</v>
      </c>
      <c r="N129" s="7">
        <v>42695</v>
      </c>
      <c r="O129" s="3" t="s">
        <v>377</v>
      </c>
      <c r="P129" s="3" t="s">
        <v>378</v>
      </c>
    </row>
    <row r="130" spans="1:16" ht="12.75" x14ac:dyDescent="0.2">
      <c r="A130" s="3" t="s">
        <v>379</v>
      </c>
      <c r="B130" s="4" t="s">
        <v>415</v>
      </c>
      <c r="C130" s="3"/>
      <c r="D130" s="3">
        <v>38.691388889999999</v>
      </c>
      <c r="E130" s="3">
        <v>-104.6972222</v>
      </c>
      <c r="F130" s="4" t="s">
        <v>411</v>
      </c>
      <c r="G130" s="4" t="s">
        <v>413</v>
      </c>
      <c r="H130" s="3">
        <v>32</v>
      </c>
      <c r="I130" s="3">
        <v>5</v>
      </c>
      <c r="J130" s="3">
        <v>60</v>
      </c>
      <c r="K130" s="3">
        <v>0</v>
      </c>
      <c r="L130" s="3">
        <v>21</v>
      </c>
      <c r="M130" s="3">
        <v>32</v>
      </c>
      <c r="N130" s="7">
        <v>42695</v>
      </c>
      <c r="O130" s="3" t="s">
        <v>380</v>
      </c>
      <c r="P130" s="3" t="s">
        <v>381</v>
      </c>
    </row>
    <row r="131" spans="1:16" ht="12.75" x14ac:dyDescent="0.2">
      <c r="A131" s="3" t="s">
        <v>382</v>
      </c>
      <c r="B131" s="4" t="s">
        <v>415</v>
      </c>
      <c r="C131" s="3"/>
      <c r="D131" s="3">
        <v>38.688611109999997</v>
      </c>
      <c r="E131" s="3">
        <v>-104.69750000000001</v>
      </c>
      <c r="F131" s="4" t="s">
        <v>411</v>
      </c>
      <c r="G131" s="4" t="s">
        <v>413</v>
      </c>
      <c r="H131" s="3">
        <v>16</v>
      </c>
      <c r="I131" s="3">
        <v>2.2999999999999998</v>
      </c>
      <c r="J131" s="3">
        <v>25</v>
      </c>
      <c r="K131" s="3">
        <v>0</v>
      </c>
      <c r="L131" s="3">
        <v>8.5</v>
      </c>
      <c r="M131" s="3">
        <v>14</v>
      </c>
      <c r="N131" s="7">
        <v>42695</v>
      </c>
      <c r="O131" s="3" t="s">
        <v>383</v>
      </c>
      <c r="P131" s="3" t="s">
        <v>384</v>
      </c>
    </row>
    <row r="132" spans="1:16" ht="12.75" x14ac:dyDescent="0.2">
      <c r="A132" s="3" t="s">
        <v>385</v>
      </c>
      <c r="B132" s="4" t="s">
        <v>415</v>
      </c>
      <c r="C132" s="3"/>
      <c r="D132" s="3">
        <v>38.642222220000001</v>
      </c>
      <c r="E132" s="3">
        <v>-104.6844444</v>
      </c>
      <c r="F132" s="4" t="s">
        <v>411</v>
      </c>
      <c r="G132" s="4" t="s">
        <v>413</v>
      </c>
      <c r="H132" s="3">
        <v>30</v>
      </c>
      <c r="I132" s="3">
        <v>4.5</v>
      </c>
      <c r="J132" s="3">
        <v>56</v>
      </c>
      <c r="K132" s="3">
        <v>0</v>
      </c>
      <c r="L132" s="3">
        <v>20</v>
      </c>
      <c r="M132" s="3">
        <v>22</v>
      </c>
      <c r="N132" s="7">
        <v>42695</v>
      </c>
      <c r="O132" s="3" t="s">
        <v>386</v>
      </c>
      <c r="P132" s="3" t="s">
        <v>387</v>
      </c>
    </row>
  </sheetData>
  <autoFilter ref="A1:M132">
    <sortState ref="A2:P75">
      <sortCondition descending="1" ref="A1:A132"/>
    </sortState>
  </autoFilter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workbookViewId="0">
      <selection activeCell="A3" sqref="A3"/>
    </sheetView>
  </sheetViews>
  <sheetFormatPr defaultRowHeight="12.75" x14ac:dyDescent="0.2"/>
  <cols>
    <col min="1" max="1" width="91.140625" customWidth="1"/>
  </cols>
  <sheetData>
    <row r="1" spans="1:1" x14ac:dyDescent="0.2">
      <c r="A1" s="1" t="s">
        <v>0</v>
      </c>
    </row>
    <row r="2" spans="1:1" x14ac:dyDescent="0.2">
      <c r="A2" s="1" t="s">
        <v>403</v>
      </c>
    </row>
    <row r="3" spans="1:1" x14ac:dyDescent="0.2">
      <c r="A3" s="1" t="s">
        <v>235</v>
      </c>
    </row>
    <row r="4" spans="1:1" x14ac:dyDescent="0.2">
      <c r="A4" s="1" t="s">
        <v>400</v>
      </c>
    </row>
    <row r="5" spans="1:1" x14ac:dyDescent="0.2">
      <c r="A5" s="1" t="s">
        <v>232</v>
      </c>
    </row>
    <row r="6" spans="1:1" x14ac:dyDescent="0.2">
      <c r="A6" s="1" t="s">
        <v>229</v>
      </c>
    </row>
    <row r="7" spans="1:1" x14ac:dyDescent="0.2">
      <c r="A7" s="1" t="s">
        <v>226</v>
      </c>
    </row>
    <row r="8" spans="1:1" x14ac:dyDescent="0.2">
      <c r="A8" s="1" t="s">
        <v>223</v>
      </c>
    </row>
    <row r="9" spans="1:1" x14ac:dyDescent="0.2">
      <c r="A9" s="1" t="s">
        <v>220</v>
      </c>
    </row>
    <row r="10" spans="1:1" x14ac:dyDescent="0.2">
      <c r="A10" s="1" t="s">
        <v>286</v>
      </c>
    </row>
    <row r="11" spans="1:1" x14ac:dyDescent="0.2">
      <c r="A11" s="1" t="s">
        <v>217</v>
      </c>
    </row>
    <row r="12" spans="1:1" x14ac:dyDescent="0.2">
      <c r="A12" s="1" t="s">
        <v>214</v>
      </c>
    </row>
    <row r="13" spans="1:1" x14ac:dyDescent="0.2">
      <c r="A13" s="1" t="s">
        <v>280</v>
      </c>
    </row>
    <row r="14" spans="1:1" x14ac:dyDescent="0.2">
      <c r="A14" s="1" t="s">
        <v>211</v>
      </c>
    </row>
    <row r="15" spans="1:1" x14ac:dyDescent="0.2">
      <c r="A15" s="1" t="s">
        <v>109</v>
      </c>
    </row>
    <row r="16" spans="1:1" x14ac:dyDescent="0.2">
      <c r="A16" s="1" t="s">
        <v>121</v>
      </c>
    </row>
    <row r="17" spans="1:1" x14ac:dyDescent="0.2">
      <c r="A17" s="1" t="s">
        <v>292</v>
      </c>
    </row>
    <row r="18" spans="1:1" x14ac:dyDescent="0.2">
      <c r="A18" s="1" t="s">
        <v>208</v>
      </c>
    </row>
    <row r="19" spans="1:1" x14ac:dyDescent="0.2">
      <c r="A19" s="1" t="s">
        <v>358</v>
      </c>
    </row>
    <row r="20" spans="1:1" x14ac:dyDescent="0.2">
      <c r="A20" s="1" t="s">
        <v>205</v>
      </c>
    </row>
    <row r="21" spans="1:1" x14ac:dyDescent="0.2">
      <c r="A21" s="1" t="s">
        <v>355</v>
      </c>
    </row>
    <row r="22" spans="1:1" x14ac:dyDescent="0.2">
      <c r="A22" s="1" t="s">
        <v>202</v>
      </c>
    </row>
    <row r="23" spans="1:1" x14ac:dyDescent="0.2">
      <c r="A23" s="1" t="s">
        <v>199</v>
      </c>
    </row>
    <row r="24" spans="1:1" x14ac:dyDescent="0.2">
      <c r="A24" s="1" t="s">
        <v>196</v>
      </c>
    </row>
    <row r="25" spans="1:1" x14ac:dyDescent="0.2">
      <c r="A25" s="1" t="s">
        <v>193</v>
      </c>
    </row>
    <row r="26" spans="1:1" x14ac:dyDescent="0.2">
      <c r="A26" s="1" t="s">
        <v>190</v>
      </c>
    </row>
    <row r="27" spans="1:1" x14ac:dyDescent="0.2">
      <c r="A27" s="1" t="s">
        <v>187</v>
      </c>
    </row>
    <row r="28" spans="1:1" x14ac:dyDescent="0.2">
      <c r="A28" s="1" t="s">
        <v>184</v>
      </c>
    </row>
    <row r="29" spans="1:1" x14ac:dyDescent="0.2">
      <c r="A29" s="1" t="s">
        <v>181</v>
      </c>
    </row>
    <row r="30" spans="1:1" x14ac:dyDescent="0.2">
      <c r="A30" s="1" t="s">
        <v>178</v>
      </c>
    </row>
    <row r="31" spans="1:1" x14ac:dyDescent="0.2">
      <c r="A31" s="1" t="s">
        <v>175</v>
      </c>
    </row>
    <row r="32" spans="1:1" x14ac:dyDescent="0.2">
      <c r="A32" s="1" t="s">
        <v>172</v>
      </c>
    </row>
    <row r="33" spans="1:1" x14ac:dyDescent="0.2">
      <c r="A33" s="1" t="s">
        <v>169</v>
      </c>
    </row>
    <row r="34" spans="1:1" x14ac:dyDescent="0.2">
      <c r="A34" s="1" t="s">
        <v>166</v>
      </c>
    </row>
    <row r="35" spans="1:1" x14ac:dyDescent="0.2">
      <c r="A35" s="1" t="s">
        <v>163</v>
      </c>
    </row>
    <row r="36" spans="1:1" x14ac:dyDescent="0.2">
      <c r="A36" s="1" t="s">
        <v>160</v>
      </c>
    </row>
    <row r="37" spans="1:1" x14ac:dyDescent="0.2">
      <c r="A37" s="1" t="s">
        <v>157</v>
      </c>
    </row>
    <row r="38" spans="1:1" x14ac:dyDescent="0.2">
      <c r="A38" s="1" t="s">
        <v>154</v>
      </c>
    </row>
    <row r="39" spans="1:1" x14ac:dyDescent="0.2">
      <c r="A39" s="1" t="s">
        <v>151</v>
      </c>
    </row>
    <row r="40" spans="1:1" x14ac:dyDescent="0.2">
      <c r="A40" s="1" t="s">
        <v>148</v>
      </c>
    </row>
    <row r="41" spans="1:1" x14ac:dyDescent="0.2">
      <c r="A41" s="1" t="s">
        <v>145</v>
      </c>
    </row>
    <row r="42" spans="1:1" x14ac:dyDescent="0.2">
      <c r="A42" s="1" t="s">
        <v>142</v>
      </c>
    </row>
    <row r="43" spans="1:1" x14ac:dyDescent="0.2">
      <c r="A43" s="1" t="s">
        <v>139</v>
      </c>
    </row>
    <row r="44" spans="1:1" x14ac:dyDescent="0.2">
      <c r="A44" s="1" t="s">
        <v>136</v>
      </c>
    </row>
    <row r="45" spans="1:1" x14ac:dyDescent="0.2">
      <c r="A45" s="1" t="s">
        <v>133</v>
      </c>
    </row>
    <row r="46" spans="1:1" x14ac:dyDescent="0.2">
      <c r="A46" s="1" t="s">
        <v>130</v>
      </c>
    </row>
    <row r="47" spans="1:1" x14ac:dyDescent="0.2">
      <c r="A47" s="1" t="s">
        <v>127</v>
      </c>
    </row>
    <row r="48" spans="1:1" x14ac:dyDescent="0.2">
      <c r="A48" s="1" t="s">
        <v>124</v>
      </c>
    </row>
    <row r="49" spans="1:1" x14ac:dyDescent="0.2">
      <c r="A49" s="1" t="s">
        <v>283</v>
      </c>
    </row>
    <row r="50" spans="1:1" x14ac:dyDescent="0.2">
      <c r="A50" s="1" t="s">
        <v>46</v>
      </c>
    </row>
    <row r="51" spans="1:1" x14ac:dyDescent="0.2">
      <c r="A51" s="1" t="s">
        <v>43</v>
      </c>
    </row>
    <row r="52" spans="1:1" x14ac:dyDescent="0.2">
      <c r="A52" s="1" t="s">
        <v>40</v>
      </c>
    </row>
    <row r="53" spans="1:1" x14ac:dyDescent="0.2">
      <c r="A53" s="1" t="s">
        <v>37</v>
      </c>
    </row>
    <row r="54" spans="1:1" x14ac:dyDescent="0.2">
      <c r="A54" s="1" t="s">
        <v>34</v>
      </c>
    </row>
    <row r="55" spans="1:1" x14ac:dyDescent="0.2">
      <c r="A55" s="1" t="s">
        <v>31</v>
      </c>
    </row>
    <row r="56" spans="1:1" x14ac:dyDescent="0.2">
      <c r="A56" s="1" t="s">
        <v>28</v>
      </c>
    </row>
    <row r="57" spans="1:1" x14ac:dyDescent="0.2">
      <c r="A57" s="1" t="s">
        <v>25</v>
      </c>
    </row>
    <row r="58" spans="1:1" x14ac:dyDescent="0.2">
      <c r="A58" s="1" t="s">
        <v>22</v>
      </c>
    </row>
    <row r="59" spans="1:1" x14ac:dyDescent="0.2">
      <c r="A59" s="1" t="s">
        <v>289</v>
      </c>
    </row>
    <row r="60" spans="1:1" x14ac:dyDescent="0.2">
      <c r="A60" s="1" t="s">
        <v>277</v>
      </c>
    </row>
    <row r="61" spans="1:1" x14ac:dyDescent="0.2">
      <c r="A61" s="1" t="s">
        <v>241</v>
      </c>
    </row>
    <row r="62" spans="1:1" x14ac:dyDescent="0.2">
      <c r="A62" s="1" t="s">
        <v>64</v>
      </c>
    </row>
    <row r="63" spans="1:1" x14ac:dyDescent="0.2">
      <c r="A63" s="1" t="s">
        <v>19</v>
      </c>
    </row>
    <row r="64" spans="1:1" x14ac:dyDescent="0.2">
      <c r="A64" s="1" t="s">
        <v>16</v>
      </c>
    </row>
    <row r="65" spans="1:1" x14ac:dyDescent="0.2">
      <c r="A65" s="1" t="s">
        <v>13</v>
      </c>
    </row>
    <row r="66" spans="1:1" x14ac:dyDescent="0.2">
      <c r="A66" s="1" t="s">
        <v>274</v>
      </c>
    </row>
  </sheetData>
  <autoFilter ref="A1:A66">
    <sortState ref="A2:A98">
      <sortCondition descending="1" ref="A1:A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GW_mostrecent_May3_GIS</vt:lpstr>
      <vt:lpstr>Type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modified xsi:type="dcterms:W3CDTF">2026-01-22T17:01:23Z</dcterms:modified>
</cp:coreProperties>
</file>